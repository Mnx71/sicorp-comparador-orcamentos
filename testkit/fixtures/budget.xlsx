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8ba22d86594a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C-OK-001" sheetId="1" r:id="R0e39200c35db44b6"/>
    <x:sheet xmlns:r="http://schemas.openxmlformats.org/officeDocument/2006/relationships" name="ORC-EST-1" sheetId="2" r:id="R67df5149a878463f"/>
    <x:sheet xmlns:r="http://schemas.openxmlformats.org/officeDocument/2006/relationships" name="ORC-EST-2" sheetId="3" r:id="R4e4780141ab843e1"/>
    <x:sheet xmlns:r="http://schemas.openxmlformats.org/officeDocument/2006/relationships" name="ORC-EST-3" sheetId="4" r:id="R447444ddd12e4d2c"/>
    <x:sheet xmlns:r="http://schemas.openxmlformats.org/officeDocument/2006/relationships" name="ORC-EST-4" sheetId="5" r:id="R567679a40a6c40eb"/>
    <x:sheet xmlns:r="http://schemas.openxmlformats.org/officeDocument/2006/relationships" name="ORC-4-VAZ" sheetId="6" r:id="R70cadbac972446f7"/>
    <x:sheet xmlns:r="http://schemas.openxmlformats.org/officeDocument/2006/relationships" name="ORC-4-ZERO" sheetId="7" r:id="R43463735d76642c2"/>
    <x:sheet xmlns:r="http://schemas.openxmlformats.org/officeDocument/2006/relationships" name="ORC-4-NEG" sheetId="8" r:id="Re2540975a66e44cc"/>
    <x:sheet xmlns:r="http://schemas.openxmlformats.org/officeDocument/2006/relationships" name="ORC-4-TXT" sheetId="9" r:id="Rb03c809d69544468"/>
    <x:sheet xmlns:r="http://schemas.openxmlformats.org/officeDocument/2006/relationships" name="ORC-4-ERR" sheetId="10" r:id="R43cdabd22c3e4ca0"/>
    <x:sheet xmlns:r="http://schemas.openxmlformats.org/officeDocument/2006/relationships" name="ORC-4-CACHE" sheetId="11" r:id="R7b8f5bd6047b4650"/>
    <x:sheet xmlns:r="http://schemas.openxmlformats.org/officeDocument/2006/relationships" name="ORC-5-VAZ" sheetId="12" r:id="R9055192275fb4069"/>
    <x:sheet xmlns:r="http://schemas.openxmlformats.org/officeDocument/2006/relationships" name="ORC-5-ZERO" sheetId="13" r:id="R166d3adb57cb45b4"/>
    <x:sheet xmlns:r="http://schemas.openxmlformats.org/officeDocument/2006/relationships" name="ORC-5-NEG" sheetId="14" r:id="R84012cf1a0604ca7"/>
    <x:sheet xmlns:r="http://schemas.openxmlformats.org/officeDocument/2006/relationships" name="ORC-5-TXT" sheetId="15" r:id="R3706b971767a43df"/>
    <x:sheet xmlns:r="http://schemas.openxmlformats.org/officeDocument/2006/relationships" name="ORC-5-ERR" sheetId="16" r:id="R790b937044344b67"/>
    <x:sheet xmlns:r="http://schemas.openxmlformats.org/officeDocument/2006/relationships" name="ORC-5-CACHE" sheetId="17" r:id="R444e3bfdb3b44acb"/>
    <x:sheet xmlns:r="http://schemas.openxmlformats.org/officeDocument/2006/relationships" name="ORC-6-VAZ" sheetId="18" r:id="Re669898071d84ebb"/>
    <x:sheet xmlns:r="http://schemas.openxmlformats.org/officeDocument/2006/relationships" name="ORC-6-ZERO" sheetId="19" r:id="R0fea3226f1314199"/>
    <x:sheet xmlns:r="http://schemas.openxmlformats.org/officeDocument/2006/relationships" name="ORC-6-NEG" sheetId="20" r:id="R9595ee6030b44e8e"/>
    <x:sheet xmlns:r="http://schemas.openxmlformats.org/officeDocument/2006/relationships" name="ORC-6-TXT" sheetId="21" r:id="R9c76dca75734429d"/>
    <x:sheet xmlns:r="http://schemas.openxmlformats.org/officeDocument/2006/relationships" name="ORC-6-ERR" sheetId="22" r:id="Rb34a0ddfe1c24a32"/>
    <x:sheet xmlns:r="http://schemas.openxmlformats.org/officeDocument/2006/relationships" name="ORC-6-CACHE" sheetId="23" r:id="R6bb240d985384bfa"/>
    <x:sheet xmlns:r="http://schemas.openxmlformats.org/officeDocument/2006/relationships" name="ORC-7-VAZ" sheetId="24" r:id="Rdd828e6947cc4544"/>
    <x:sheet xmlns:r="http://schemas.openxmlformats.org/officeDocument/2006/relationships" name="ORC-7-ZERO" sheetId="25" r:id="R951506e217904edf"/>
    <x:sheet xmlns:r="http://schemas.openxmlformats.org/officeDocument/2006/relationships" name="ORC-7-NEG" sheetId="26" r:id="R4aa4fb6f713f4b32"/>
    <x:sheet xmlns:r="http://schemas.openxmlformats.org/officeDocument/2006/relationships" name="ORC-7-TXT" sheetId="27" r:id="R2fc640ec211640d4"/>
    <x:sheet xmlns:r="http://schemas.openxmlformats.org/officeDocument/2006/relationships" name="ORC-7-ERR" sheetId="28" r:id="R182e0df8ab574466"/>
    <x:sheet xmlns:r="http://schemas.openxmlformats.org/officeDocument/2006/relationships" name="ORC-7-CACHE" sheetId="29" r:id="R2a67f553c3094251"/>
    <x:sheet xmlns:r="http://schemas.openxmlformats.org/officeDocument/2006/relationships" name="ORC-8-VAZ" sheetId="30" r:id="R7075f0bf6c1b432b"/>
    <x:sheet xmlns:r="http://schemas.openxmlformats.org/officeDocument/2006/relationships" name="ORC-8-ZERO" sheetId="31" r:id="Ra519219a5648425b"/>
    <x:sheet xmlns:r="http://schemas.openxmlformats.org/officeDocument/2006/relationships" name="ORC-8-NEG" sheetId="32" r:id="R0127799aac194a70"/>
    <x:sheet xmlns:r="http://schemas.openxmlformats.org/officeDocument/2006/relationships" name="ORC-8-TXT" sheetId="33" r:id="Re1287cd6d2fa4f0b"/>
    <x:sheet xmlns:r="http://schemas.openxmlformats.org/officeDocument/2006/relationships" name="ORC-8-ERR" sheetId="34" r:id="Rff3947d867e44d14"/>
    <x:sheet xmlns:r="http://schemas.openxmlformats.org/officeDocument/2006/relationships" name="ORC-8-CACHE" sheetId="35" r:id="Rca2b65b8e58e4b84"/>
    <x:sheet xmlns:r="http://schemas.openxmlformats.org/officeDocument/2006/relationships" name="ORC-EXC-001" sheetId="36" r:id="R5de730785395449e"/>
    <x:sheet xmlns:r="http://schemas.openxmlformats.org/officeDocument/2006/relationships" name="ORC-EXC-002" sheetId="37" r:id="R5e94a0d537b148fd"/>
    <x:sheet xmlns:r="http://schemas.openxmlformats.org/officeDocument/2006/relationships" name="ORC-EXC-003" sheetId="38" r:id="Rf667763a1bad49ec"/>
    <x:sheet xmlns:r="http://schemas.openxmlformats.org/officeDocument/2006/relationships" name="ORC-EXC-004" sheetId="39" r:id="Rc02e6f23b4f34e29"/>
    <x:sheet xmlns:r="http://schemas.openxmlformats.org/officeDocument/2006/relationships" name="ORC-EXC-005" sheetId="40" r:id="Rf53f07deff654309"/>
    <x:sheet xmlns:r="http://schemas.openxmlformats.org/officeDocument/2006/relationships" name="ORC-TOT-VAZ" sheetId="41" r:id="Rfb8d574463314cf1"/>
    <x:sheet xmlns:r="http://schemas.openxmlformats.org/officeDocument/2006/relationships" name="ORC-TOT-TXT" sheetId="42" r:id="R2eff833c2ba247ac"/>
    <x:sheet xmlns:r="http://schemas.openxmlformats.org/officeDocument/2006/relationships" name="ORC-TOT-ZERO" sheetId="43" r:id="Rb3e294eadf244f1e"/>
    <x:sheet xmlns:r="http://schemas.openxmlformats.org/officeDocument/2006/relationships" name="ORC-TOT-NEG" sheetId="44" r:id="R6dd36a9d32734b76"/>
    <x:sheet xmlns:r="http://schemas.openxmlformats.org/officeDocument/2006/relationships" name="ORC-MAP-001" sheetId="45" r:id="R6dcc06ad0d964502"/>
    <x:sheet xmlns:r="http://schemas.openxmlformats.org/officeDocument/2006/relationships" name="ORC-MAP-002" sheetId="46" r:id="R32b02294b00442f4"/>
    <x:sheet xmlns:r="http://schemas.openxmlformats.org/officeDocument/2006/relationships" name="ORC-DER-SEM" sheetId="47" r:id="R17b630eaa8d44384"/>
    <x:sheet xmlns:r="http://schemas.openxmlformats.org/officeDocument/2006/relationships" name="ORC-DER-COM" sheetId="48" r:id="Rbaef522a4e644750"/>
    <x:sheet xmlns:r="http://schemas.openxmlformats.org/officeDocument/2006/relationships" name="ORC-DER-BDI" sheetId="49" r:id="R07b6e7bc67b44a0c"/>
    <x:sheet xmlns:r="http://schemas.openxmlformats.org/officeDocument/2006/relationships" name="ORC-DER-ZERO" sheetId="50" r:id="Ra2bf993e530c48c9"/>
    <x:sheet xmlns:r="http://schemas.openxmlformats.org/officeDocument/2006/relationships" name="ORC-DER-NEG" sheetId="51" r:id="Re0debc413768419b"/>
    <x:sheet xmlns:r="http://schemas.openxmlformats.org/officeDocument/2006/relationships" name="ORC-DER-INF" sheetId="52" r:id="Rf9404b97f68e4113"/>
    <x:sheet xmlns:r="http://schemas.openxmlformats.org/officeDocument/2006/relationships" name="ORC-ERR-BDI" sheetId="53" r:id="R90baa6d02deb4105"/>
    <x:sheet xmlns:r="http://schemas.openxmlformats.org/officeDocument/2006/relationships" name="ORC-ERR-ITEM" sheetId="54" r:id="R7556d46fcd514bba"/>
    <x:sheet xmlns:r="http://schemas.openxmlformats.org/officeDocument/2006/relationships" name="ORC-ERR-GERAL" sheetId="55" r:id="R04b969cae26b42aa"/>
    <x:sheet xmlns:r="http://schemas.openxmlformats.org/officeDocument/2006/relationships" name="ORC-ERR-COMP" sheetId="56" r:id="Re4bae48743a3475e"/>
    <x:sheet xmlns:r="http://schemas.openxmlformats.org/officeDocument/2006/relationships" name="ORC-ROUND-MEIO" sheetId="57" r:id="R35e543d6feb14876"/>
    <x:sheet xmlns:r="http://schemas.openxmlformats.org/officeDocument/2006/relationships" name="ORC-ROUND-ABAIXO" sheetId="58" r:id="Ra861c94a4beb43af"/>
    <x:sheet xmlns:r="http://schemas.openxmlformats.org/officeDocument/2006/relationships" name="ORC-ROUND-ACIMA" sheetId="59" r:id="R23f10af008ff4e59"/>
    <x:sheet xmlns:r="http://schemas.openxmlformats.org/officeDocument/2006/relationships" name="ORC-LIM-DENTRO" sheetId="60" r:id="Rb2a4572bfb33496d"/>
    <x:sheet xmlns:r="http://schemas.openxmlformats.org/officeDocument/2006/relationships" name="ORC-LIM-IGUAL" sheetId="61" r:id="R788d177f099c46d9"/>
    <x:sheet xmlns:r="http://schemas.openxmlformats.org/officeDocument/2006/relationships" name="ORC-LIM-FORA" sheetId="62" r:id="R598aa6a5fc254bf9"/>
    <x:sheet xmlns:r="http://schemas.openxmlformats.org/officeDocument/2006/relationships" name="ORC-LIM-GERAL" sheetId="63" r:id="Rc5ec739867044c1f"/>
    <x:sheet xmlns:r="http://schemas.openxmlformats.org/officeDocument/2006/relationships" name="ORC-LIM-GERAL-FORA" sheetId="64" r:id="Rd862942023734348"/>
    <x:sheet xmlns:r="http://schemas.openxmlformats.org/officeDocument/2006/relationships" name="ORC-AV-DUP" sheetId="65" r:id="R408b56d6fa564bae"/>
    <x:sheet xmlns:r="http://schemas.openxmlformats.org/officeDocument/2006/relationships" name="ORC-CP-DUP" sheetId="66" r:id="R3d5d0e95a51b4de0"/>
    <x:sheet xmlns:r="http://schemas.openxmlformats.org/officeDocument/2006/relationships" name="ORC-AV-PRECO" sheetId="67" r:id="R29b8eca62e944b32"/>
    <x:sheet xmlns:r="http://schemas.openxmlformats.org/officeDocument/2006/relationships" name="ORC-CP-PRECO" sheetId="68" r:id="Rb765f45d56924782"/>
    <x:sheet xmlns:r="http://schemas.openxmlformats.org/officeDocument/2006/relationships" name="ORC-AV-BDI" sheetId="69" r:id="R52494a8c40d1493d"/>
    <x:sheet xmlns:r="http://schemas.openxmlformats.org/officeDocument/2006/relationships" name="ORC-AV-BDI-DER" sheetId="70" r:id="R1e18d0e03279490e"/>
    <x:sheet xmlns:r="http://schemas.openxmlformats.org/officeDocument/2006/relationships" name="ORC-CP-BDI" sheetId="71" r:id="R48789c65cf484f68"/>
    <x:sheet xmlns:r="http://schemas.openxmlformats.org/officeDocument/2006/relationships" name="ORC-AV-MANUAL" sheetId="72" r:id="R19c6b47507844ec1"/>
    <x:sheet xmlns:r="http://schemas.openxmlformats.org/officeDocument/2006/relationships" name="ORC-CP-MANUAL" sheetId="73" r:id="Re401068413514aff"/>
    <x:sheet xmlns:r="http://schemas.openxmlformats.org/officeDocument/2006/relationships" name="ORC-AV-PADRAO" sheetId="74" r:id="R9e86d69ecf1f4a23"/>
    <x:sheet xmlns:r="http://schemas.openxmlformats.org/officeDocument/2006/relationships" name="ORC-VIS-001" sheetId="75" r:id="Re9478af33b6747d3"/>
    <x:sheet xmlns:r="http://schemas.openxmlformats.org/officeDocument/2006/relationships" name="ORC-VIS-002" sheetId="76" r:id="R34dfa012efbc4829"/>
    <x:sheet xmlns:r="http://schemas.openxmlformats.org/officeDocument/2006/relationships" name="ORC-VIS-ANTES" sheetId="77" r:id="Rdbe240901ea24d67"/>
    <x:sheet xmlns:r="http://schemas.openxmlformats.org/officeDocument/2006/relationships" name="ORC-VIS-INTERVALO" sheetId="78" r:id="Rbfcb5badb751418f"/>
    <x:sheet xmlns:r="http://schemas.openxmlformats.org/officeDocument/2006/relationships" name="ORC-VIS-MESCLA" sheetId="79" r:id="R722139f1afc74f99"/>
    <x:sheet xmlns:r="http://schemas.openxmlformats.org/officeDocument/2006/relationships" name="ORC-VIS-FORMULA" sheetId="80" r:id="R2ee826bc8e1c4c36"/>
    <x:sheet xmlns:r="http://schemas.openxmlformats.org/officeDocument/2006/relationships" name="ORC-AV-GRUPOS" sheetId="81" r:id="R00c63825033e43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General"/>
  </x:numFmts>
  <x:fonts count="3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B5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0" fontId="1" fillId="2" borderId="0" xfId="0" applyNumberFormat="1" applyFont="1" applyFill="1" applyBorder="1"/>
    <x:xf numFmtId="200" fontId="2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80f007166241e0" /><Relationship Type="http://schemas.openxmlformats.org/officeDocument/2006/relationships/theme" Target="/xl/theme/theme1.xml" Id="Re2039b52e69d4a9f" /><Relationship Type="http://schemas.openxmlformats.org/officeDocument/2006/relationships/sharedStrings" Target="/xl/sharedStrings.xml" Id="Rdb32a57c7ba041ab" /><Relationship Type="http://schemas.openxmlformats.org/officeDocument/2006/relationships/worksheet" Target="/xl/worksheets/sheet1.xml" Id="R0e39200c35db44b6" /><Relationship Type="http://schemas.openxmlformats.org/officeDocument/2006/relationships/worksheet" Target="/xl/worksheets/sheet2.xml" Id="R67df5149a878463f" /><Relationship Type="http://schemas.openxmlformats.org/officeDocument/2006/relationships/worksheet" Target="/xl/worksheets/sheet3.xml" Id="R4e4780141ab843e1" /><Relationship Type="http://schemas.openxmlformats.org/officeDocument/2006/relationships/worksheet" Target="/xl/worksheets/sheet4.xml" Id="R447444ddd12e4d2c" /><Relationship Type="http://schemas.openxmlformats.org/officeDocument/2006/relationships/worksheet" Target="/xl/worksheets/sheet5.xml" Id="R567679a40a6c40eb" /><Relationship Type="http://schemas.openxmlformats.org/officeDocument/2006/relationships/worksheet" Target="/xl/worksheets/sheet6.xml" Id="R70cadbac972446f7" /><Relationship Type="http://schemas.openxmlformats.org/officeDocument/2006/relationships/worksheet" Target="/xl/worksheets/sheet7.xml" Id="R43463735d76642c2" /><Relationship Type="http://schemas.openxmlformats.org/officeDocument/2006/relationships/worksheet" Target="/xl/worksheets/sheet8.xml" Id="Re2540975a66e44cc" /><Relationship Type="http://schemas.openxmlformats.org/officeDocument/2006/relationships/worksheet" Target="/xl/worksheets/sheet9.xml" Id="Rb03c809d69544468" /><Relationship Type="http://schemas.openxmlformats.org/officeDocument/2006/relationships/worksheet" Target="/xl/worksheets/sheet10.xml" Id="R43cdabd22c3e4ca0" /><Relationship Type="http://schemas.openxmlformats.org/officeDocument/2006/relationships/worksheet" Target="/xl/worksheets/sheet11.xml" Id="R7b8f5bd6047b4650" /><Relationship Type="http://schemas.openxmlformats.org/officeDocument/2006/relationships/worksheet" Target="/xl/worksheets/sheet12.xml" Id="R9055192275fb4069" /><Relationship Type="http://schemas.openxmlformats.org/officeDocument/2006/relationships/worksheet" Target="/xl/worksheets/sheet13.xml" Id="R166d3adb57cb45b4" /><Relationship Type="http://schemas.openxmlformats.org/officeDocument/2006/relationships/worksheet" Target="/xl/worksheets/sheet14.xml" Id="R84012cf1a0604ca7" /><Relationship Type="http://schemas.openxmlformats.org/officeDocument/2006/relationships/worksheet" Target="/xl/worksheets/sheet15.xml" Id="R3706b971767a43df" /><Relationship Type="http://schemas.openxmlformats.org/officeDocument/2006/relationships/worksheet" Target="/xl/worksheets/sheet16.xml" Id="R790b937044344b67" /><Relationship Type="http://schemas.openxmlformats.org/officeDocument/2006/relationships/worksheet" Target="/xl/worksheets/sheet17.xml" Id="R444e3bfdb3b44acb" /><Relationship Type="http://schemas.openxmlformats.org/officeDocument/2006/relationships/worksheet" Target="/xl/worksheets/sheet18.xml" Id="Re669898071d84ebb" /><Relationship Type="http://schemas.openxmlformats.org/officeDocument/2006/relationships/worksheet" Target="/xl/worksheets/sheet19.xml" Id="R0fea3226f1314199" /><Relationship Type="http://schemas.openxmlformats.org/officeDocument/2006/relationships/worksheet" Target="/xl/worksheets/sheet20.xml" Id="R9595ee6030b44e8e" /><Relationship Type="http://schemas.openxmlformats.org/officeDocument/2006/relationships/worksheet" Target="/xl/worksheets/sheet21.xml" Id="R9c76dca75734429d" /><Relationship Type="http://schemas.openxmlformats.org/officeDocument/2006/relationships/worksheet" Target="/xl/worksheets/sheet22.xml" Id="Rb34a0ddfe1c24a32" /><Relationship Type="http://schemas.openxmlformats.org/officeDocument/2006/relationships/worksheet" Target="/xl/worksheets/sheet23.xml" Id="R6bb240d985384bfa" /><Relationship Type="http://schemas.openxmlformats.org/officeDocument/2006/relationships/worksheet" Target="/xl/worksheets/sheet24.xml" Id="Rdd828e6947cc4544" /><Relationship Type="http://schemas.openxmlformats.org/officeDocument/2006/relationships/worksheet" Target="/xl/worksheets/sheet25.xml" Id="R951506e217904edf" /><Relationship Type="http://schemas.openxmlformats.org/officeDocument/2006/relationships/worksheet" Target="/xl/worksheets/sheet26.xml" Id="R4aa4fb6f713f4b32" /><Relationship Type="http://schemas.openxmlformats.org/officeDocument/2006/relationships/worksheet" Target="/xl/worksheets/sheet27.xml" Id="R2fc640ec211640d4" /><Relationship Type="http://schemas.openxmlformats.org/officeDocument/2006/relationships/worksheet" Target="/xl/worksheets/sheet28.xml" Id="R182e0df8ab574466" /><Relationship Type="http://schemas.openxmlformats.org/officeDocument/2006/relationships/worksheet" Target="/xl/worksheets/sheet29.xml" Id="R2a67f553c3094251" /><Relationship Type="http://schemas.openxmlformats.org/officeDocument/2006/relationships/worksheet" Target="/xl/worksheets/sheet30.xml" Id="R7075f0bf6c1b432b" /><Relationship Type="http://schemas.openxmlformats.org/officeDocument/2006/relationships/worksheet" Target="/xl/worksheets/sheet31.xml" Id="Ra519219a5648425b" /><Relationship Type="http://schemas.openxmlformats.org/officeDocument/2006/relationships/worksheet" Target="/xl/worksheets/sheet32.xml" Id="R0127799aac194a70" /><Relationship Type="http://schemas.openxmlformats.org/officeDocument/2006/relationships/worksheet" Target="/xl/worksheets/sheet33.xml" Id="Re1287cd6d2fa4f0b" /><Relationship Type="http://schemas.openxmlformats.org/officeDocument/2006/relationships/worksheet" Target="/xl/worksheets/sheet34.xml" Id="Rff3947d867e44d14" /><Relationship Type="http://schemas.openxmlformats.org/officeDocument/2006/relationships/worksheet" Target="/xl/worksheets/sheet35.xml" Id="Rca2b65b8e58e4b84" /><Relationship Type="http://schemas.openxmlformats.org/officeDocument/2006/relationships/worksheet" Target="/xl/worksheets/sheet36.xml" Id="R5de730785395449e" /><Relationship Type="http://schemas.openxmlformats.org/officeDocument/2006/relationships/worksheet" Target="/xl/worksheets/sheet37.xml" Id="R5e94a0d537b148fd" /><Relationship Type="http://schemas.openxmlformats.org/officeDocument/2006/relationships/worksheet" Target="/xl/worksheets/sheet38.xml" Id="Rf667763a1bad49ec" /><Relationship Type="http://schemas.openxmlformats.org/officeDocument/2006/relationships/worksheet" Target="/xl/worksheets/sheet39.xml" Id="Rc02e6f23b4f34e29" /><Relationship Type="http://schemas.openxmlformats.org/officeDocument/2006/relationships/worksheet" Target="/xl/worksheets/sheet40.xml" Id="Rf53f07deff654309" /><Relationship Type="http://schemas.openxmlformats.org/officeDocument/2006/relationships/worksheet" Target="/xl/worksheets/sheet41.xml" Id="Rfb8d574463314cf1" /><Relationship Type="http://schemas.openxmlformats.org/officeDocument/2006/relationships/worksheet" Target="/xl/worksheets/sheet42.xml" Id="R2eff833c2ba247ac" /><Relationship Type="http://schemas.openxmlformats.org/officeDocument/2006/relationships/worksheet" Target="/xl/worksheets/sheet43.xml" Id="Rb3e294eadf244f1e" /><Relationship Type="http://schemas.openxmlformats.org/officeDocument/2006/relationships/worksheet" Target="/xl/worksheets/sheet44.xml" Id="R6dd36a9d32734b76" /><Relationship Type="http://schemas.openxmlformats.org/officeDocument/2006/relationships/worksheet" Target="/xl/worksheets/sheet45.xml" Id="R6dcc06ad0d964502" /><Relationship Type="http://schemas.openxmlformats.org/officeDocument/2006/relationships/worksheet" Target="/xl/worksheets/sheet46.xml" Id="R32b02294b00442f4" /><Relationship Type="http://schemas.openxmlformats.org/officeDocument/2006/relationships/worksheet" Target="/xl/worksheets/sheet47.xml" Id="R17b630eaa8d44384" /><Relationship Type="http://schemas.openxmlformats.org/officeDocument/2006/relationships/worksheet" Target="/xl/worksheets/sheet48.xml" Id="Rbaef522a4e644750" /><Relationship Type="http://schemas.openxmlformats.org/officeDocument/2006/relationships/worksheet" Target="/xl/worksheets/sheet49.xml" Id="R07b6e7bc67b44a0c" /><Relationship Type="http://schemas.openxmlformats.org/officeDocument/2006/relationships/worksheet" Target="/xl/worksheets/sheet50.xml" Id="Ra2bf993e530c48c9" /><Relationship Type="http://schemas.openxmlformats.org/officeDocument/2006/relationships/worksheet" Target="/xl/worksheets/sheet51.xml" Id="Re0debc413768419b" /><Relationship Type="http://schemas.openxmlformats.org/officeDocument/2006/relationships/worksheet" Target="/xl/worksheets/sheet52.xml" Id="Rf9404b97f68e4113" /><Relationship Type="http://schemas.openxmlformats.org/officeDocument/2006/relationships/worksheet" Target="/xl/worksheets/sheet53.xml" Id="R90baa6d02deb4105" /><Relationship Type="http://schemas.openxmlformats.org/officeDocument/2006/relationships/worksheet" Target="/xl/worksheets/sheet54.xml" Id="R7556d46fcd514bba" /><Relationship Type="http://schemas.openxmlformats.org/officeDocument/2006/relationships/worksheet" Target="/xl/worksheets/sheet55.xml" Id="R04b969cae26b42aa" /><Relationship Type="http://schemas.openxmlformats.org/officeDocument/2006/relationships/worksheet" Target="/xl/worksheets/sheet56.xml" Id="Re4bae48743a3475e" /><Relationship Type="http://schemas.openxmlformats.org/officeDocument/2006/relationships/worksheet" Target="/xl/worksheets/sheet57.xml" Id="R35e543d6feb14876" /><Relationship Type="http://schemas.openxmlformats.org/officeDocument/2006/relationships/worksheet" Target="/xl/worksheets/sheet58.xml" Id="Ra861c94a4beb43af" /><Relationship Type="http://schemas.openxmlformats.org/officeDocument/2006/relationships/worksheet" Target="/xl/worksheets/sheet59.xml" Id="R23f10af008ff4e59" /><Relationship Type="http://schemas.openxmlformats.org/officeDocument/2006/relationships/worksheet" Target="/xl/worksheets/sheet60.xml" Id="Rb2a4572bfb33496d" /><Relationship Type="http://schemas.openxmlformats.org/officeDocument/2006/relationships/worksheet" Target="/xl/worksheets/sheet61.xml" Id="R788d177f099c46d9" /><Relationship Type="http://schemas.openxmlformats.org/officeDocument/2006/relationships/worksheet" Target="/xl/worksheets/sheet62.xml" Id="R598aa6a5fc254bf9" /><Relationship Type="http://schemas.openxmlformats.org/officeDocument/2006/relationships/worksheet" Target="/xl/worksheets/sheet63.xml" Id="Rc5ec739867044c1f" /><Relationship Type="http://schemas.openxmlformats.org/officeDocument/2006/relationships/worksheet" Target="/xl/worksheets/sheet64.xml" Id="Rd862942023734348" /><Relationship Type="http://schemas.openxmlformats.org/officeDocument/2006/relationships/worksheet" Target="/xl/worksheets/sheet65.xml" Id="R408b56d6fa564bae" /><Relationship Type="http://schemas.openxmlformats.org/officeDocument/2006/relationships/worksheet" Target="/xl/worksheets/sheet66.xml" Id="R3d5d0e95a51b4de0" /><Relationship Type="http://schemas.openxmlformats.org/officeDocument/2006/relationships/worksheet" Target="/xl/worksheets/sheet67.xml" Id="R29b8eca62e944b32" /><Relationship Type="http://schemas.openxmlformats.org/officeDocument/2006/relationships/worksheet" Target="/xl/worksheets/sheet68.xml" Id="Rb765f45d56924782" /><Relationship Type="http://schemas.openxmlformats.org/officeDocument/2006/relationships/worksheet" Target="/xl/worksheets/sheet69.xml" Id="R52494a8c40d1493d" /><Relationship Type="http://schemas.openxmlformats.org/officeDocument/2006/relationships/worksheet" Target="/xl/worksheets/sheet70.xml" Id="R1e18d0e03279490e" /><Relationship Type="http://schemas.openxmlformats.org/officeDocument/2006/relationships/worksheet" Target="/xl/worksheets/sheet71.xml" Id="R48789c65cf484f68" /><Relationship Type="http://schemas.openxmlformats.org/officeDocument/2006/relationships/worksheet" Target="/xl/worksheets/sheet72.xml" Id="R19c6b47507844ec1" /><Relationship Type="http://schemas.openxmlformats.org/officeDocument/2006/relationships/worksheet" Target="/xl/worksheets/sheet73.xml" Id="Re401068413514aff" /><Relationship Type="http://schemas.openxmlformats.org/officeDocument/2006/relationships/worksheet" Target="/xl/worksheets/sheet74.xml" Id="R9e86d69ecf1f4a23" /><Relationship Type="http://schemas.openxmlformats.org/officeDocument/2006/relationships/worksheet" Target="/xl/worksheets/sheet75.xml" Id="Re9478af33b6747d3" /><Relationship Type="http://schemas.openxmlformats.org/officeDocument/2006/relationships/worksheet" Target="/xl/worksheets/sheet76.xml" Id="R34dfa012efbc4829" /><Relationship Type="http://schemas.openxmlformats.org/officeDocument/2006/relationships/worksheet" Target="/xl/worksheets/sheet77.xml" Id="Rdbe240901ea24d67" /><Relationship Type="http://schemas.openxmlformats.org/officeDocument/2006/relationships/worksheet" Target="/xl/worksheets/sheet78.xml" Id="Rbfcb5badb751418f" /><Relationship Type="http://schemas.openxmlformats.org/officeDocument/2006/relationships/worksheet" Target="/xl/worksheets/sheet79.xml" Id="R722139f1afc74f99" /><Relationship Type="http://schemas.openxmlformats.org/officeDocument/2006/relationships/worksheet" Target="/xl/worksheets/sheet80.xml" Id="R2ee826bc8e1c4c36" /><Relationship Type="http://schemas.openxmlformats.org/officeDocument/2006/relationships/worksheet" Target="/xl/worksheets/sheet81.xml" Id="R00c63825033e43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/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/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/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/>
      <c r="E2" s="1" t="n">
        <v>2</v>
      </c>
      <c r="F2" s="9" t="n">
        <v>100</v>
      </c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str"/>
      <c r="F2" s="9" t="n">
        <v>100</v>
      </c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0</v>
      </c>
      <c r="F2" s="9" t="n">
        <v>100</v>
      </c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-1</v>
      </c>
      <c r="F2" s="9" t="n">
        <v>100</v>
      </c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str">
        <v>abc</v>
      </c>
      <c r="F2" s="9" t="n">
        <v>100</v>
      </c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e">
        <f>1/0</f>
        <v>#DIV/0!</v>
      </c>
      <c r="F2" s="9" t="n">
        <v>100</v>
      </c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>
        <f>1+1</f>
      </c>
      <c r="F2" s="9" t="n">
        <v>100</v>
      </c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str"/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0</v>
      </c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-1</v>
      </c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str">
        <v>abc</v>
      </c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e">
        <f>1/0</f>
        <v>#DIV/0!</v>
      </c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>
        <f>1+1</f>
      </c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str"/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-0.2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str">
        <v>abc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e">
        <f>1/0</f>
        <v>#DIV/0!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>
        <f>1+1</f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str"/>
      <c r="I2" s="9" t="n">
        <v>240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0</v>
      </c>
      <c r="I2" s="9" t="n">
        <v>240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-1</v>
      </c>
      <c r="I2" s="9" t="n">
        <v>240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str">
        <v>abc</v>
      </c>
      <c r="I2" s="9" t="n">
        <v>240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e">
        <f>1/0</f>
        <v>#DIV/0!</v>
      </c>
      <c r="I2" s="9" t="n">
        <v>240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>
        <f>1+1</f>
      </c>
      <c r="I2" s="9" t="n">
        <v>240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str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-1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str">
        <v>abc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e">
        <f>1/0</f>
        <v>#DIV/0!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>
        <f>1+1</f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0</v>
      </c>
      <c r="F2" s="9" t="n">
        <v>-1</v>
      </c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/>
      <c r="B2" s="1" t="str">
        <v>SINAPI</v>
      </c>
      <c r="C2" s="1" t="str">
        <v>Título</v>
      </c>
      <c r="D2" s="1" t="str"/>
      <c r="E2" s="1" t="n">
        <v>-1</v>
      </c>
      <c r="F2" s="9" t="str">
        <v>abc</v>
      </c>
      <c r="G2" s="9" t="n">
        <v>0</v>
      </c>
      <c r="H2" s="9" t="n">
        <v>0</v>
      </c>
      <c r="I2" s="9" t="n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/>
      <c r="B2" s="1"/>
      <c r="C2" s="1"/>
      <c r="D2" s="1"/>
      <c r="E2" s="1"/>
      <c r="F2" s="9"/>
      <c r="G2" s="9"/>
      <c r="H2" s="9"/>
      <c r="I2" s="9"/>
    </row>
    <row r="3" ht="22" customHeight="1">
      <c r="A3" s="2" t="str">
        <v>0001</v>
      </c>
      <c r="B3" s="1" t="str">
        <v>SINAPI</v>
      </c>
      <c r="C3" s="1" t="str">
        <v>Tubo PVC</v>
      </c>
      <c r="D3" s="1" t="str">
        <v>m</v>
      </c>
      <c r="E3" s="1" t="n">
        <v>2</v>
      </c>
      <c r="F3" s="9" t="n">
        <v>100</v>
      </c>
      <c r="G3" s="9" t="n">
        <v>0.2</v>
      </c>
      <c r="H3" s="9" t="n">
        <v>120</v>
      </c>
      <c r="I3" s="9" t="n">
        <v>240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Código</v>
      </c>
      <c r="B2" s="1" t="str">
        <v>Fonte</v>
      </c>
      <c r="C2" s="1" t="str">
        <v>Descrição</v>
      </c>
      <c r="D2" s="1" t="str">
        <v>Unidade</v>
      </c>
      <c r="E2" s="1" t="str">
        <v>Quantidade</v>
      </c>
      <c r="F2" s="9" t="str">
        <v>Preço sem BDI</v>
      </c>
      <c r="G2" s="9" t="str">
        <v>BDI</v>
      </c>
      <c r="H2" s="9" t="str">
        <v>Preço com BDI</v>
      </c>
      <c r="I2" s="9" t="str">
        <v>Total do item</v>
      </c>
    </row>
    <row r="3" ht="22" customHeight="1">
      <c r="A3" s="2" t="str">
        <v>0001</v>
      </c>
      <c r="B3" s="1" t="str">
        <v>SINAPI</v>
      </c>
      <c r="C3" s="1" t="str">
        <v>Tubo PVC</v>
      </c>
      <c r="D3" s="1" t="str">
        <v>m</v>
      </c>
      <c r="E3" s="1" t="n">
        <v>2</v>
      </c>
      <c r="F3" s="9" t="n">
        <v>100</v>
      </c>
      <c r="G3" s="9" t="n">
        <v>0.2</v>
      </c>
      <c r="H3" s="9" t="n">
        <v>120</v>
      </c>
      <c r="I3" s="9" t="n">
        <v>240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Views>
    <sheetView showGridLines="0" workbookViewId="0">
      <pane ySplit="2" topLeftCell="A3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2" t="str">
        <v>Relatório sintético</v>
      </c>
      <c r="B1" s="1"/>
      <c r="C1" s="1"/>
      <c r="D1" s="1"/>
      <c r="E1" s="1"/>
      <c r="F1" s="1"/>
      <c r="G1" s="1"/>
      <c r="H1" s="1"/>
      <c r="I1" s="1"/>
    </row>
    <row r="2" ht="22" customHeight="1">
      <c r="A2" s="7" t="str">
        <v>Código</v>
      </c>
      <c r="B2" s="8" t="str">
        <v>Fonte</v>
      </c>
      <c r="C2" s="8" t="str">
        <v>Descrição</v>
      </c>
      <c r="D2" s="8" t="str">
        <v>Unidade</v>
      </c>
      <c r="E2" s="8" t="str">
        <v>Quantidade</v>
      </c>
      <c r="F2" s="8" t="str">
        <v>Preço sem BDI</v>
      </c>
      <c r="G2" s="8" t="str">
        <v>BDI</v>
      </c>
      <c r="H2" s="8" t="str">
        <v>Preço com BDI</v>
      </c>
      <c r="I2" s="8" t="str">
        <v>Total do item</v>
      </c>
    </row>
    <row r="3" ht="22" customHeight="1">
      <c r="A3" s="2" t="str">
        <v>0001</v>
      </c>
      <c r="B3" s="1" t="str">
        <v>SINAPI</v>
      </c>
      <c r="C3" s="1" t="str">
        <v>Tubo PVC</v>
      </c>
      <c r="D3" s="1" t="str">
        <v>m</v>
      </c>
      <c r="E3" s="1" t="n">
        <v>2</v>
      </c>
      <c r="F3" s="9" t="n">
        <v>100</v>
      </c>
      <c r="G3" s="9" t="n">
        <v>0.2</v>
      </c>
      <c r="H3" s="9" t="n">
        <v>120</v>
      </c>
      <c r="I3" s="9" t="n">
        <v>240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100</v>
      </c>
      <c r="I2" s="9" t="n">
        <v>200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90</v>
      </c>
      <c r="I2" s="9" t="n">
        <v>180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1</v>
      </c>
      <c r="B2" s="1" t="str">
        <v>SINAPI</v>
      </c>
      <c r="C2" s="1" t="str">
        <v>Estouro</v>
      </c>
      <c r="D2" s="1" t="str">
        <v>m</v>
      </c>
      <c r="E2" s="1" t="n">
        <v>1</v>
      </c>
      <c r="F2" s="9" t="n">
        <v>1e+308</v>
      </c>
      <c r="G2" s="9" t="n">
        <v>100</v>
      </c>
      <c r="H2" s="9" t="str"/>
      <c r="I2" s="9" t="n">
        <v>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121</v>
      </c>
      <c r="I2" s="9" t="n">
        <v>242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241</v>
      </c>
    </row>
    <row r="3" ht="22" customHeight="1">
      <c r="A3" s="2" t="str">
        <v>2</v>
      </c>
      <c r="B3" s="1" t="str">
        <v>SINAPI</v>
      </c>
      <c r="C3" s="1" t="str">
        <v>Outro</v>
      </c>
      <c r="D3" s="1" t="str">
        <v>m</v>
      </c>
      <c r="E3" s="1" t="n">
        <v>2</v>
      </c>
      <c r="F3" s="9" t="n">
        <v>100</v>
      </c>
      <c r="G3" s="9" t="n">
        <v>0.2</v>
      </c>
      <c r="H3" s="9" t="n">
        <v>120</v>
      </c>
      <c r="I3" s="9" t="n">
        <v>239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1</v>
      </c>
      <c r="B2" s="1" t="str">
        <v>SINAPI</v>
      </c>
      <c r="C2" s="1" t="str">
        <v>Meio centavo</v>
      </c>
      <c r="D2" s="1" t="str">
        <v>m</v>
      </c>
      <c r="E2" s="1" t="n">
        <v>1</v>
      </c>
      <c r="F2" s="9" t="n">
        <v>10</v>
      </c>
      <c r="G2" s="9" t="n">
        <v>0.0075</v>
      </c>
      <c r="H2" s="9" t="n">
        <v>10.075</v>
      </c>
      <c r="I2" s="9" t="n">
        <v>10.08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1</v>
      </c>
      <c r="B2" s="1" t="str">
        <v>SINAPI</v>
      </c>
      <c r="C2" s="1" t="str">
        <v>Meio centavo</v>
      </c>
      <c r="D2" s="1" t="str">
        <v>m</v>
      </c>
      <c r="E2" s="1" t="n">
        <v>1</v>
      </c>
      <c r="F2" s="9" t="n">
        <v>10</v>
      </c>
      <c r="G2" s="9" t="n">
        <v>0.0075</v>
      </c>
      <c r="H2" s="9" t="n">
        <v>10.074999</v>
      </c>
      <c r="I2" s="9" t="n">
        <v>10.07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1</v>
      </c>
      <c r="B2" s="1" t="str">
        <v>SINAPI</v>
      </c>
      <c r="C2" s="1" t="str">
        <v>Meio centavo</v>
      </c>
      <c r="D2" s="1" t="str">
        <v>m</v>
      </c>
      <c r="E2" s="1" t="n">
        <v>1</v>
      </c>
      <c r="F2" s="9" t="n">
        <v>10</v>
      </c>
      <c r="G2" s="9" t="n">
        <v>0.0075</v>
      </c>
      <c r="H2" s="9" t="n">
        <v>10.075001</v>
      </c>
      <c r="I2" s="9" t="n">
        <v>10.08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240.009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240.01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240.02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</v>
      </c>
    </row>
    <row r="3" ht="22" customHeight="1">
      <c r="A3" s="2" t="str">
        <v>2</v>
      </c>
      <c r="B3" s="1" t="str">
        <v>SINAPI</v>
      </c>
      <c r="C3" s="1" t="str">
        <v>Outro</v>
      </c>
      <c r="D3" s="1" t="str">
        <v>m</v>
      </c>
      <c r="E3" s="1" t="n">
        <v>2</v>
      </c>
      <c r="F3" s="9" t="n">
        <v>100</v>
      </c>
      <c r="G3" s="9" t="n">
        <v>0.2</v>
      </c>
      <c r="H3" s="9" t="n">
        <v>120</v>
      </c>
      <c r="I3" s="9" t="n">
        <v>240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</v>
      </c>
    </row>
    <row r="3" ht="22" customHeight="1">
      <c r="A3" s="2" t="str">
        <v>2</v>
      </c>
      <c r="B3" s="1" t="str">
        <v>SINAPI</v>
      </c>
      <c r="C3" s="1" t="str">
        <v>Outro</v>
      </c>
      <c r="D3" s="1" t="str">
        <v>m</v>
      </c>
      <c r="E3" s="1" t="n">
        <v>2</v>
      </c>
      <c r="F3" s="9" t="n">
        <v>100</v>
      </c>
      <c r="G3" s="9" t="n">
        <v>0.2</v>
      </c>
      <c r="H3" s="9" t="n">
        <v>120</v>
      </c>
      <c r="I3" s="9" t="n">
        <v>240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</v>
      </c>
    </row>
    <row r="3" ht="22" customHeight="1">
      <c r="A3" s="2" t="str">
        <v>0001</v>
      </c>
      <c r="B3" s="1" t="str">
        <v>SINAPI</v>
      </c>
      <c r="C3" s="1" t="str">
        <v>Tubo PVC</v>
      </c>
      <c r="D3" s="1" t="str">
        <v>m</v>
      </c>
      <c r="E3" s="1" t="n">
        <v>2</v>
      </c>
      <c r="F3" s="9" t="n">
        <v>100</v>
      </c>
      <c r="G3" s="9" t="n">
        <v>0.2</v>
      </c>
      <c r="H3" s="9" t="n">
        <v>120</v>
      </c>
      <c r="I3" s="9" t="n">
        <v>240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</v>
      </c>
    </row>
    <row r="3" ht="22" customHeight="1">
      <c r="A3" s="2"/>
      <c r="B3" s="1"/>
      <c r="C3" s="1"/>
      <c r="D3" s="1"/>
      <c r="E3" s="1"/>
      <c r="F3" s="9"/>
      <c r="G3" s="9"/>
      <c r="H3" s="9"/>
      <c r="I3" s="9"/>
    </row>
    <row r="4" ht="22" customHeight="1">
      <c r="A4" s="2" t="str">
        <v>0001</v>
      </c>
      <c r="B4" s="1" t="str">
        <v>SINAPI</v>
      </c>
      <c r="C4" s="1" t="str">
        <v>Tubo PVC</v>
      </c>
      <c r="D4" s="1" t="str">
        <v>m</v>
      </c>
      <c r="E4" s="1" t="n">
        <v>2</v>
      </c>
      <c r="F4" s="9" t="n">
        <v>100</v>
      </c>
      <c r="G4" s="9" t="n">
        <v>0.2</v>
      </c>
      <c r="H4" s="9" t="n">
        <v>120</v>
      </c>
      <c r="I4" s="9" t="n">
        <v>240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</v>
      </c>
    </row>
    <row r="3" ht="22" customHeight="1">
      <c r="A3" s="2" t="str">
        <v>1</v>
      </c>
      <c r="B3" s="1" t="str">
        <v>SINAPI</v>
      </c>
      <c r="C3" s="1" t="str">
        <v>Tubo PVC</v>
      </c>
      <c r="D3" s="1" t="str">
        <v>m</v>
      </c>
      <c r="E3" s="1" t="n">
        <v>2</v>
      </c>
      <c r="F3" s="9" t="n">
        <v>110</v>
      </c>
      <c r="G3" s="9" t="n">
        <v>0.2</v>
      </c>
      <c r="H3" s="9" t="n">
        <v>132</v>
      </c>
      <c r="I3" s="9" t="n">
        <v>264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</v>
      </c>
    </row>
    <row r="3" ht="22" customHeight="1">
      <c r="A3" s="2" t="str">
        <v>2</v>
      </c>
      <c r="B3" s="1" t="str">
        <v>SINAPI</v>
      </c>
      <c r="C3" s="1" t="str">
        <v>Outro</v>
      </c>
      <c r="D3" s="1" t="str">
        <v>m</v>
      </c>
      <c r="E3" s="1" t="n">
        <v>2</v>
      </c>
      <c r="F3" s="9" t="n">
        <v>110</v>
      </c>
      <c r="G3" s="9" t="n">
        <v>0.2</v>
      </c>
      <c r="H3" s="9" t="n">
        <v>132</v>
      </c>
      <c r="I3" s="9" t="n">
        <v>264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</v>
      </c>
    </row>
    <row r="3" ht="22" customHeight="1">
      <c r="A3" s="2" t="str">
        <v>2</v>
      </c>
      <c r="B3" s="1" t="str">
        <v>ORSE</v>
      </c>
      <c r="C3" s="1" t="str">
        <v>Túbo  PVC</v>
      </c>
      <c r="D3" s="1" t="str">
        <v>un</v>
      </c>
      <c r="E3" s="1" t="n">
        <v>2</v>
      </c>
      <c r="F3" s="9" t="n">
        <v>100</v>
      </c>
      <c r="G3" s="9" t="n">
        <v>0.3</v>
      </c>
      <c r="H3" s="9" t="n">
        <v>130</v>
      </c>
      <c r="I3" s="9" t="n">
        <v>260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</v>
      </c>
    </row>
    <row r="3" ht="22" customHeight="1">
      <c r="A3" s="2" t="str">
        <v>2</v>
      </c>
      <c r="B3" s="1" t="str">
        <v>ORSE</v>
      </c>
      <c r="C3" s="1" t="str">
        <v>Túbo  PVC</v>
      </c>
      <c r="D3" s="1" t="str">
        <v>un</v>
      </c>
      <c r="E3" s="1" t="n">
        <v>2</v>
      </c>
      <c r="F3" s="9" t="n">
        <v>100</v>
      </c>
      <c r="G3" s="9" t="str"/>
      <c r="H3" s="9" t="n">
        <v>130</v>
      </c>
      <c r="I3" s="9" t="n">
        <v>260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</v>
      </c>
    </row>
    <row r="3" ht="22" customHeight="1">
      <c r="A3" s="2" t="str">
        <v>2</v>
      </c>
      <c r="B3" s="1" t="str">
        <v>ORSE</v>
      </c>
      <c r="C3" s="1" t="str">
        <v>Tubo PVC</v>
      </c>
      <c r="D3" s="1" t="str">
        <v>un</v>
      </c>
      <c r="E3" s="1" t="n">
        <v>2</v>
      </c>
      <c r="F3" s="9" t="n">
        <v>100</v>
      </c>
      <c r="G3" s="9" t="str">
        <v>20%</v>
      </c>
      <c r="H3" s="9" t="n">
        <v>120</v>
      </c>
      <c r="I3" s="9" t="n">
        <v>240</v>
      </c>
    </row>
    <row r="4" ht="22" customHeight="1">
      <c r="A4" s="2" t="str">
        <v>3</v>
      </c>
      <c r="B4" s="1" t="str">
        <v>SINAPI</v>
      </c>
      <c r="C4" s="1" t="str">
        <v>Tubo PVC</v>
      </c>
      <c r="D4" s="1" t="str">
        <v>m</v>
      </c>
      <c r="E4" s="1" t="n">
        <v>2</v>
      </c>
      <c r="F4" s="9" t="n">
        <v>100</v>
      </c>
      <c r="G4" s="9" t="n">
        <v>20</v>
      </c>
      <c r="H4" s="9" t="n">
        <v>120</v>
      </c>
      <c r="I4" s="9" t="n">
        <v>240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1</v>
      </c>
      <c r="B2" s="1" t="str">
        <v>SINAPI</v>
      </c>
      <c r="C2" s="1" t="str">
        <v>Item 1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>
        <f>E2*H2</f>
        <v>240</v>
      </c>
    </row>
    <row r="3" ht="22" customHeight="1">
      <c r="A3" s="2" t="str">
        <v>2</v>
      </c>
      <c r="B3" s="1" t="str">
        <v>SINAPI</v>
      </c>
      <c r="C3" s="1" t="str">
        <v>Item 2</v>
      </c>
      <c r="D3" s="1" t="str">
        <v>m</v>
      </c>
      <c r="E3" s="1" t="n">
        <v>2</v>
      </c>
      <c r="F3" s="9" t="n">
        <v>100</v>
      </c>
      <c r="G3" s="9" t="n">
        <v>0.2</v>
      </c>
      <c r="H3" s="9" t="n">
        <v>120</v>
      </c>
      <c r="I3" s="9">
        <f>E3*H3</f>
        <v>240</v>
      </c>
    </row>
    <row r="4" ht="22" customHeight="1">
      <c r="A4" s="2" t="str">
        <v>3</v>
      </c>
      <c r="B4" s="1" t="str">
        <v>SINAPI</v>
      </c>
      <c r="C4" s="1" t="str">
        <v>Item 3</v>
      </c>
      <c r="D4" s="1" t="str">
        <v>m</v>
      </c>
      <c r="E4" s="1" t="n">
        <v>2</v>
      </c>
      <c r="F4" s="9" t="n">
        <v>100</v>
      </c>
      <c r="G4" s="9" t="n">
        <v>0.2</v>
      </c>
      <c r="H4" s="9" t="n">
        <v>120</v>
      </c>
      <c r="I4" s="9">
        <f>E4*H4</f>
        <v>240</v>
      </c>
    </row>
    <row r="5" ht="22" customHeight="1">
      <c r="A5" s="2" t="str">
        <v>4</v>
      </c>
      <c r="B5" s="1" t="str">
        <v>SINAPI</v>
      </c>
      <c r="C5" s="1" t="str">
        <v>Item 4</v>
      </c>
      <c r="D5" s="1" t="str">
        <v>m</v>
      </c>
      <c r="E5" s="1" t="n">
        <v>2</v>
      </c>
      <c r="F5" s="9" t="n">
        <v>100</v>
      </c>
      <c r="G5" s="9" t="n">
        <v>0.2</v>
      </c>
      <c r="H5" s="9" t="n">
        <v>120</v>
      </c>
      <c r="I5" s="9">
        <f>E5*H5</f>
        <v>240</v>
      </c>
    </row>
    <row r="6" ht="22" customHeight="1">
      <c r="A6" s="2" t="str">
        <v>5</v>
      </c>
      <c r="B6" s="1" t="str">
        <v>SINAPI</v>
      </c>
      <c r="C6" s="1" t="str">
        <v>Item 5</v>
      </c>
      <c r="D6" s="1" t="str">
        <v>m</v>
      </c>
      <c r="E6" s="1" t="n">
        <v>2</v>
      </c>
      <c r="F6" s="9" t="n">
        <v>100</v>
      </c>
      <c r="G6" s="9" t="n">
        <v>0.2</v>
      </c>
      <c r="H6" s="9" t="n">
        <v>120</v>
      </c>
      <c r="I6" s="9" t="n">
        <v>240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1</v>
      </c>
      <c r="B2" s="1" t="str">
        <v>SINAPI</v>
      </c>
      <c r="C2" s="1" t="str">
        <v>Item 1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>
        <f>E2*H2</f>
        <v>240</v>
      </c>
    </row>
    <row r="3" ht="22" customHeight="1">
      <c r="A3" s="2" t="str">
        <v>2</v>
      </c>
      <c r="B3" s="1" t="str">
        <v>SINAPI</v>
      </c>
      <c r="C3" s="1" t="str">
        <v>Item 2</v>
      </c>
      <c r="D3" s="1" t="str">
        <v>m</v>
      </c>
      <c r="E3" s="1" t="n">
        <v>2</v>
      </c>
      <c r="F3" s="9" t="n">
        <v>100</v>
      </c>
      <c r="G3" s="9" t="n">
        <v>0.2</v>
      </c>
      <c r="H3" s="9" t="n">
        <v>120</v>
      </c>
      <c r="I3" s="9">
        <f>E3*H3</f>
        <v>240</v>
      </c>
    </row>
    <row r="4" ht="22" customHeight="1">
      <c r="A4" s="2" t="str">
        <v>3</v>
      </c>
      <c r="B4" s="1" t="str">
        <v>SINAPI</v>
      </c>
      <c r="C4" s="1" t="str">
        <v>Item 3</v>
      </c>
      <c r="D4" s="1" t="str">
        <v>m</v>
      </c>
      <c r="E4" s="1" t="n">
        <v>2</v>
      </c>
      <c r="F4" s="9" t="n">
        <v>100</v>
      </c>
      <c r="G4" s="9" t="n">
        <v>0.2</v>
      </c>
      <c r="H4" s="9" t="n">
        <v>120</v>
      </c>
      <c r="I4" s="9">
        <f>E4*H4</f>
        <v>240</v>
      </c>
    </row>
    <row r="5" ht="22" customHeight="1">
      <c r="A5" s="2" t="str">
        <v>4</v>
      </c>
      <c r="B5" s="1" t="str">
        <v>SINAPI</v>
      </c>
      <c r="C5" s="1" t="str">
        <v>Item 4</v>
      </c>
      <c r="D5" s="1" t="str">
        <v>m</v>
      </c>
      <c r="E5" s="1" t="n">
        <v>2</v>
      </c>
      <c r="F5" s="9" t="n">
        <v>100</v>
      </c>
      <c r="G5" s="9" t="n">
        <v>0.2</v>
      </c>
      <c r="H5" s="9" t="n">
        <v>120</v>
      </c>
      <c r="I5" s="9">
        <f>E5*H5</f>
        <v>240</v>
      </c>
    </row>
    <row r="6" ht="22" customHeight="1">
      <c r="A6" s="2" t="str">
        <v>5</v>
      </c>
      <c r="B6" s="1" t="str">
        <v>SINAPI</v>
      </c>
      <c r="C6" s="1" t="str">
        <v>Item 5</v>
      </c>
      <c r="D6" s="1" t="str">
        <v>m</v>
      </c>
      <c r="E6" s="1" t="n">
        <v>2</v>
      </c>
      <c r="F6" s="9" t="n">
        <v>100</v>
      </c>
      <c r="G6" s="9" t="n">
        <v>0.2</v>
      </c>
      <c r="H6" s="9" t="n">
        <v>120</v>
      </c>
      <c r="I6" s="9">
        <f>E6*H6</f>
        <v>240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1</v>
      </c>
      <c r="B2" s="1" t="str">
        <v>SINAPI</v>
      </c>
      <c r="C2" s="1" t="str">
        <v>Item 1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>
        <f>E2*H2</f>
        <v>240</v>
      </c>
    </row>
    <row r="3" ht="22" customHeight="1">
      <c r="A3" s="2" t="str">
        <v>2</v>
      </c>
      <c r="B3" s="1" t="str">
        <v>SINAPI</v>
      </c>
      <c r="C3" s="1" t="str">
        <v>Item 2</v>
      </c>
      <c r="D3" s="1" t="str">
        <v>m</v>
      </c>
      <c r="E3" s="1" t="n">
        <v>2</v>
      </c>
      <c r="F3" s="9" t="n">
        <v>100</v>
      </c>
      <c r="G3" s="9" t="n">
        <v>0.2</v>
      </c>
      <c r="H3" s="9" t="n">
        <v>120</v>
      </c>
      <c r="I3" s="9">
        <f>E3*H3</f>
        <v>240</v>
      </c>
    </row>
    <row r="4" ht="22" customHeight="1">
      <c r="A4" s="2" t="str">
        <v>3</v>
      </c>
      <c r="B4" s="1" t="str">
        <v>SINAPI</v>
      </c>
      <c r="C4" s="1" t="str">
        <v>Item 3</v>
      </c>
      <c r="D4" s="1" t="str">
        <v>m</v>
      </c>
      <c r="E4" s="1" t="n">
        <v>2</v>
      </c>
      <c r="F4" s="9" t="n">
        <v>100</v>
      </c>
      <c r="G4" s="9" t="n">
        <v>0.2</v>
      </c>
      <c r="H4" s="9" t="n">
        <v>120</v>
      </c>
      <c r="I4" s="9">
        <f>E4*H4</f>
        <v>240</v>
      </c>
    </row>
    <row r="5" ht="22" customHeight="1">
      <c r="A5" s="2" t="str">
        <v>4</v>
      </c>
      <c r="B5" s="1" t="str">
        <v>SINAPI</v>
      </c>
      <c r="C5" s="1" t="str">
        <v>Item 4</v>
      </c>
      <c r="D5" s="1" t="str">
        <v>m</v>
      </c>
      <c r="E5" s="1" t="n">
        <v>2</v>
      </c>
      <c r="F5" s="9" t="n">
        <v>100</v>
      </c>
      <c r="G5" s="9" t="n">
        <v>0.2</v>
      </c>
      <c r="H5" s="9" t="n">
        <v>120</v>
      </c>
      <c r="I5" s="9">
        <f>E5*H5</f>
        <v>240</v>
      </c>
    </row>
    <row r="6" ht="22" customHeight="1">
      <c r="A6" s="2" t="str">
        <v>5</v>
      </c>
      <c r="B6" s="1" t="str">
        <v>SINAPI</v>
      </c>
      <c r="C6" s="1" t="str">
        <v>Item 5</v>
      </c>
      <c r="D6" s="1" t="str">
        <v>m</v>
      </c>
      <c r="E6" s="1" t="n">
        <v>2</v>
      </c>
      <c r="F6" s="9" t="n">
        <v>100</v>
      </c>
      <c r="G6" s="9" t="n">
        <v>0.2</v>
      </c>
      <c r="H6" s="9" t="n">
        <v>120</v>
      </c>
      <c r="I6" s="9">
        <f>SUM(H6,H6)</f>
        <v>240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</v>
      </c>
    </row>
    <row r="3" ht="22" customHeight="1" hidden="1">
      <c r="A3" s="2" t="str">
        <v>2</v>
      </c>
      <c r="B3" s="1" t="str">
        <v>SINAPI</v>
      </c>
      <c r="C3" s="1" t="str">
        <v>Oculto</v>
      </c>
      <c r="D3" s="1" t="str">
        <v>m</v>
      </c>
      <c r="E3" s="1" t="n">
        <v>2</v>
      </c>
      <c r="F3" s="9" t="n">
        <v>500</v>
      </c>
      <c r="G3" s="9" t="n">
        <v>0.2</v>
      </c>
      <c r="H3" s="9" t="n">
        <v>600</v>
      </c>
      <c r="I3" s="9" t="n">
        <v>1200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  <col min="1" max="1" width="19" hidden="1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>
  <sheetViews>
    <sheetView showGridLines="0" workbookViewId="0">
      <pane ySplit="2" topLeftCell="A3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 hidden="1">
      <c r="A1" s="2" t="str">
        <v>Título oculto</v>
      </c>
      <c r="B1" s="1"/>
      <c r="C1" s="1"/>
      <c r="D1" s="1"/>
      <c r="E1" s="1"/>
      <c r="F1" s="1"/>
      <c r="G1" s="1"/>
      <c r="H1" s="1"/>
      <c r="I1" s="1"/>
    </row>
    <row r="2" ht="22" customHeight="1">
      <c r="A2" s="7" t="str">
        <v>Código</v>
      </c>
      <c r="B2" s="8" t="str">
        <v>Fonte</v>
      </c>
      <c r="C2" s="8" t="str">
        <v>Descrição</v>
      </c>
      <c r="D2" s="8" t="str">
        <v>Unidade</v>
      </c>
      <c r="E2" s="8" t="str">
        <v>Quantidade</v>
      </c>
      <c r="F2" s="8" t="str">
        <v>Preço sem BDI</v>
      </c>
      <c r="G2" s="8" t="str">
        <v>BDI</v>
      </c>
      <c r="H2" s="8" t="str">
        <v>Preço com BDI</v>
      </c>
      <c r="I2" s="8" t="str">
        <v>Total do item</v>
      </c>
    </row>
    <row r="3" ht="22" customHeight="1">
      <c r="A3" s="2" t="str">
        <v>0001</v>
      </c>
      <c r="B3" s="1" t="str">
        <v>SINAPI</v>
      </c>
      <c r="C3" s="1" t="str">
        <v>Tubo PVC</v>
      </c>
      <c r="D3" s="1" t="str">
        <v>m</v>
      </c>
      <c r="E3" s="1" t="n">
        <v>2</v>
      </c>
      <c r="F3" s="9" t="n">
        <v>100</v>
      </c>
      <c r="G3" s="9" t="n">
        <v>0.2</v>
      </c>
      <c r="H3" s="9" t="n">
        <v>120</v>
      </c>
      <c r="I3" s="9" t="n">
        <v>240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</v>
      </c>
    </row>
    <row r="3" ht="22" customHeight="1" hidden="1">
      <c r="A3" s="2" t="str">
        <v>2</v>
      </c>
      <c r="B3" s="1" t="str">
        <v>SINAPI</v>
      </c>
      <c r="C3" s="1" t="str">
        <v>Oculto</v>
      </c>
      <c r="D3" s="1" t="str">
        <v>m</v>
      </c>
      <c r="E3" s="1" t="n">
        <v>0</v>
      </c>
      <c r="F3" s="9" t="n">
        <v>-1</v>
      </c>
      <c r="G3" s="9" t="n">
        <v>0</v>
      </c>
      <c r="H3" s="9" t="n">
        <v>0</v>
      </c>
      <c r="I3" s="9" t="n">
        <v>0</v>
      </c>
    </row>
    <row r="4" ht="22" customHeight="1" hidden="1">
      <c r="A4" s="2" t="str">
        <v>3</v>
      </c>
      <c r="B4" s="1" t="str">
        <v>SINAPI</v>
      </c>
      <c r="C4" s="1" t="str">
        <v>Oculto</v>
      </c>
      <c r="D4" s="1" t="str">
        <v>m</v>
      </c>
      <c r="E4" s="1" t="n">
        <v>-1</v>
      </c>
      <c r="F4" s="9" t="n">
        <v>10</v>
      </c>
      <c r="G4" s="9" t="n">
        <v>0.2</v>
      </c>
      <c r="H4" s="9" t="n">
        <v>12</v>
      </c>
      <c r="I4" s="9" t="n">
        <v>-12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>
  <sheetViews>
    <sheetView showGridLines="0" workbookViewId="0">
      <pane ySplit="2" topLeftCell="A3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2" t="str">
        <v>Título mesclado</v>
      </c>
      <c r="B1" s="1"/>
      <c r="C1" s="1"/>
      <c r="D1" s="1"/>
      <c r="E1" s="1"/>
      <c r="F1" s="1"/>
      <c r="G1" s="1"/>
      <c r="H1" s="1"/>
      <c r="I1" s="1"/>
    </row>
    <row r="2" ht="22" customHeight="1">
      <c r="A2" s="7" t="str">
        <v>Código</v>
      </c>
      <c r="B2" s="8" t="str">
        <v>Fonte</v>
      </c>
      <c r="C2" s="8" t="str">
        <v>Descrição</v>
      </c>
      <c r="D2" s="8" t="str">
        <v>Unidade</v>
      </c>
      <c r="E2" s="8" t="str">
        <v>Quantidade</v>
      </c>
      <c r="F2" s="8" t="str">
        <v>Preço sem BDI</v>
      </c>
      <c r="G2" s="8" t="str">
        <v>BDI</v>
      </c>
      <c r="H2" s="8" t="str">
        <v>Preço com BDI</v>
      </c>
      <c r="I2" s="8" t="str">
        <v>Total do item</v>
      </c>
    </row>
    <row r="3" ht="22" customHeight="1">
      <c r="A3" s="2" t="str">
        <v>0001</v>
      </c>
      <c r="B3" s="1" t="str">
        <v>SINAPI</v>
      </c>
      <c r="C3" s="1" t="str">
        <v>Tubo PVC</v>
      </c>
      <c r="D3" s="1" t="str">
        <v>m</v>
      </c>
      <c r="E3" s="1" t="n">
        <v>2</v>
      </c>
      <c r="F3" s="9" t="n">
        <v>100</v>
      </c>
      <c r="G3" s="9" t="n">
        <v>0.2</v>
      </c>
      <c r="H3" s="9" t="n">
        <v>120</v>
      </c>
      <c r="I3" s="9" t="n">
        <v>240</v>
      </c>
    </row>
  </sheetData>
  <mergeCells>
    <mergeCell ref="A1:I1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>
        <f>E2*H2+I3</f>
        <v>500</v>
      </c>
    </row>
    <row r="3" ht="22" customHeight="1" hidden="1">
      <c r="A3" s="2" t="str">
        <v>2</v>
      </c>
      <c r="B3" s="1" t="str">
        <v>SINAPI</v>
      </c>
      <c r="C3" s="1" t="str">
        <v>Oculto</v>
      </c>
      <c r="D3" s="1" t="str">
        <v>m</v>
      </c>
      <c r="E3" s="1" t="n">
        <v>1</v>
      </c>
      <c r="F3" s="9" t="n">
        <v>10</v>
      </c>
      <c r="G3" s="9" t="n">
        <v>0.2</v>
      </c>
      <c r="H3" s="9" t="n">
        <v>12</v>
      </c>
      <c r="I3" s="9" t="n">
        <v>12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g0</v>
      </c>
      <c r="B2" s="1" t="str">
        <v>SINAPI</v>
      </c>
      <c r="C2" s="1" t="str">
        <v>Serviço 0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</v>
      </c>
    </row>
    <row r="3" ht="22" customHeight="1">
      <c r="A3" s="2" t="str">
        <v>g1</v>
      </c>
      <c r="B3" s="1" t="str">
        <v>SINAPI</v>
      </c>
      <c r="C3" s="1" t="str">
        <v>Serviço 1</v>
      </c>
      <c r="D3" s="1" t="str">
        <v>m</v>
      </c>
      <c r="E3" s="1" t="n">
        <v>2</v>
      </c>
      <c r="F3" s="9" t="n">
        <v>100</v>
      </c>
      <c r="G3" s="9" t="n">
        <v>0.2</v>
      </c>
      <c r="H3" s="9" t="n">
        <v>120</v>
      </c>
      <c r="I3" s="9" t="n">
        <v>240</v>
      </c>
    </row>
    <row r="4" ht="22" customHeight="1">
      <c r="A4" s="2" t="str">
        <v>g2</v>
      </c>
      <c r="B4" s="1" t="str">
        <v>SINAPI</v>
      </c>
      <c r="C4" s="1" t="str">
        <v>Serviço 2</v>
      </c>
      <c r="D4" s="1" t="str">
        <v>m</v>
      </c>
      <c r="E4" s="1" t="n">
        <v>2</v>
      </c>
      <c r="F4" s="9" t="n">
        <v>100</v>
      </c>
      <c r="G4" s="9" t="n">
        <v>0.2</v>
      </c>
      <c r="H4" s="9" t="n">
        <v>120</v>
      </c>
      <c r="I4" s="9" t="n">
        <v>240</v>
      </c>
    </row>
    <row r="5" ht="22" customHeight="1">
      <c r="A5" s="2" t="str">
        <v>g3</v>
      </c>
      <c r="B5" s="1" t="str">
        <v>SINAPI</v>
      </c>
      <c r="C5" s="1" t="str">
        <v>Serviço 3</v>
      </c>
      <c r="D5" s="1" t="str">
        <v>m</v>
      </c>
      <c r="E5" s="1" t="n">
        <v>2</v>
      </c>
      <c r="F5" s="9" t="n">
        <v>100</v>
      </c>
      <c r="G5" s="9" t="n">
        <v>0.2</v>
      </c>
      <c r="H5" s="9" t="n">
        <v>120</v>
      </c>
      <c r="I5" s="9" t="n">
        <v>240</v>
      </c>
    </row>
    <row r="6" ht="22" customHeight="1">
      <c r="A6" s="2" t="str">
        <v>g4</v>
      </c>
      <c r="B6" s="1" t="str">
        <v>SINAPI</v>
      </c>
      <c r="C6" s="1" t="str">
        <v>Serviço 4</v>
      </c>
      <c r="D6" s="1" t="str">
        <v>m</v>
      </c>
      <c r="E6" s="1" t="n">
        <v>2</v>
      </c>
      <c r="F6" s="9" t="n">
        <v>100</v>
      </c>
      <c r="G6" s="9" t="n">
        <v>0.2</v>
      </c>
      <c r="H6" s="9" t="n">
        <v>120</v>
      </c>
      <c r="I6" s="9" t="n">
        <v>240</v>
      </c>
    </row>
    <row r="7" ht="22" customHeight="1">
      <c r="A7" s="2" t="str">
        <v>g5</v>
      </c>
      <c r="B7" s="1" t="str">
        <v>SINAPI</v>
      </c>
      <c r="C7" s="1" t="str">
        <v>Serviço 5</v>
      </c>
      <c r="D7" s="1" t="str">
        <v>m</v>
      </c>
      <c r="E7" s="1" t="n">
        <v>2</v>
      </c>
      <c r="F7" s="9" t="n">
        <v>100</v>
      </c>
      <c r="G7" s="9" t="n">
        <v>0.2</v>
      </c>
      <c r="H7" s="9" t="n">
        <v>120</v>
      </c>
      <c r="I7" s="9" t="n">
        <v>240</v>
      </c>
    </row>
    <row r="8" ht="22" customHeight="1">
      <c r="A8" s="2" t="str">
        <v>g6</v>
      </c>
      <c r="B8" s="1" t="str">
        <v>SINAPI</v>
      </c>
      <c r="C8" s="1" t="str">
        <v>Serviço 6</v>
      </c>
      <c r="D8" s="1" t="str">
        <v>m</v>
      </c>
      <c r="E8" s="1" t="n">
        <v>2</v>
      </c>
      <c r="F8" s="9" t="n">
        <v>100</v>
      </c>
      <c r="G8" s="9" t="n">
        <v>0.2</v>
      </c>
      <c r="H8" s="9" t="n">
        <v>120</v>
      </c>
      <c r="I8" s="9" t="n">
        <v>240</v>
      </c>
    </row>
    <row r="9" ht="22" customHeight="1">
      <c r="A9" s="2" t="str">
        <v>g7</v>
      </c>
      <c r="B9" s="1" t="str">
        <v>SINAPI</v>
      </c>
      <c r="C9" s="1" t="str">
        <v>Serviço 7</v>
      </c>
      <c r="D9" s="1" t="str">
        <v>m</v>
      </c>
      <c r="E9" s="1" t="n">
        <v>2</v>
      </c>
      <c r="F9" s="9" t="n">
        <v>100</v>
      </c>
      <c r="G9" s="9" t="n">
        <v>0.2</v>
      </c>
      <c r="H9" s="9" t="n">
        <v>120</v>
      </c>
      <c r="I9" s="9" t="n">
        <v>240</v>
      </c>
    </row>
    <row r="10" ht="22" customHeight="1">
      <c r="A10" s="2" t="str">
        <v>g8</v>
      </c>
      <c r="B10" s="1" t="str">
        <v>SINAPI</v>
      </c>
      <c r="C10" s="1" t="str">
        <v>Serviço 8</v>
      </c>
      <c r="D10" s="1" t="str">
        <v>m</v>
      </c>
      <c r="E10" s="1" t="n">
        <v>2</v>
      </c>
      <c r="F10" s="9" t="n">
        <v>100</v>
      </c>
      <c r="G10" s="9" t="n">
        <v>0.2</v>
      </c>
      <c r="H10" s="9" t="n">
        <v>120</v>
      </c>
      <c r="I10" s="9" t="n">
        <v>240</v>
      </c>
    </row>
    <row r="11" ht="22" customHeight="1">
      <c r="A11" s="2" t="str">
        <v>g9</v>
      </c>
      <c r="B11" s="1" t="str">
        <v>SINAPI</v>
      </c>
      <c r="C11" s="1" t="str">
        <v>Serviço 9</v>
      </c>
      <c r="D11" s="1" t="str">
        <v>m</v>
      </c>
      <c r="E11" s="1" t="n">
        <v>2</v>
      </c>
      <c r="F11" s="9" t="n">
        <v>100</v>
      </c>
      <c r="G11" s="9" t="n">
        <v>0.2</v>
      </c>
      <c r="H11" s="9" t="n">
        <v>120</v>
      </c>
      <c r="I11" s="9" t="n">
        <v>240</v>
      </c>
    </row>
    <row r="12" ht="22" customHeight="1">
      <c r="A12" s="2" t="str">
        <v>g10</v>
      </c>
      <c r="B12" s="1" t="str">
        <v>SINAPI</v>
      </c>
      <c r="C12" s="1" t="str">
        <v>Serviço 10</v>
      </c>
      <c r="D12" s="1" t="str">
        <v>m</v>
      </c>
      <c r="E12" s="1" t="n">
        <v>2</v>
      </c>
      <c r="F12" s="9" t="n">
        <v>100</v>
      </c>
      <c r="G12" s="9" t="n">
        <v>0.2</v>
      </c>
      <c r="H12" s="9" t="n">
        <v>120</v>
      </c>
      <c r="I12" s="9" t="n">
        <v>240</v>
      </c>
    </row>
    <row r="13" ht="22" customHeight="1">
      <c r="A13" s="2" t="str">
        <v>g11</v>
      </c>
      <c r="B13" s="1" t="str">
        <v>SINAPI</v>
      </c>
      <c r="C13" s="1" t="str">
        <v>Serviço 11</v>
      </c>
      <c r="D13" s="1" t="str">
        <v>m</v>
      </c>
      <c r="E13" s="1" t="n">
        <v>2</v>
      </c>
      <c r="F13" s="9" t="n">
        <v>100</v>
      </c>
      <c r="G13" s="9" t="n">
        <v>0.2</v>
      </c>
      <c r="H13" s="9" t="n">
        <v>120</v>
      </c>
      <c r="I13" s="9" t="n">
        <v>240</v>
      </c>
    </row>
    <row r="14" ht="22" customHeight="1">
      <c r="A14" s="2" t="str">
        <v>g12</v>
      </c>
      <c r="B14" s="1" t="str">
        <v>SINAPI</v>
      </c>
      <c r="C14" s="1" t="str">
        <v>Serviço 12</v>
      </c>
      <c r="D14" s="1" t="str">
        <v>m</v>
      </c>
      <c r="E14" s="1" t="n">
        <v>2</v>
      </c>
      <c r="F14" s="9" t="n">
        <v>100</v>
      </c>
      <c r="G14" s="9" t="n">
        <v>0.2</v>
      </c>
      <c r="H14" s="9" t="n">
        <v>120</v>
      </c>
      <c r="I14" s="9" t="n">
        <v>240</v>
      </c>
    </row>
    <row r="15" ht="22" customHeight="1">
      <c r="A15" s="2" t="str">
        <v>g13</v>
      </c>
      <c r="B15" s="1" t="str">
        <v>SINAPI</v>
      </c>
      <c r="C15" s="1" t="str">
        <v>Serviço 13</v>
      </c>
      <c r="D15" s="1" t="str">
        <v>m</v>
      </c>
      <c r="E15" s="1" t="n">
        <v>2</v>
      </c>
      <c r="F15" s="9" t="n">
        <v>100</v>
      </c>
      <c r="G15" s="9" t="n">
        <v>0.2</v>
      </c>
      <c r="H15" s="9" t="n">
        <v>120</v>
      </c>
      <c r="I15" s="9" t="n">
        <v>240</v>
      </c>
    </row>
    <row r="16" ht="22" customHeight="1">
      <c r="A16" s="2" t="str">
        <v>g14</v>
      </c>
      <c r="B16" s="1" t="str">
        <v>SINAPI</v>
      </c>
      <c r="C16" s="1" t="str">
        <v>Serviço 14</v>
      </c>
      <c r="D16" s="1" t="str">
        <v>m</v>
      </c>
      <c r="E16" s="1" t="n">
        <v>2</v>
      </c>
      <c r="F16" s="9" t="n">
        <v>100</v>
      </c>
      <c r="G16" s="9" t="n">
        <v>0.2</v>
      </c>
      <c r="H16" s="9" t="n">
        <v>120</v>
      </c>
      <c r="I16" s="9" t="n">
        <v>240</v>
      </c>
    </row>
    <row r="17" ht="22" customHeight="1">
      <c r="A17" s="2" t="str">
        <v>g15</v>
      </c>
      <c r="B17" s="1" t="str">
        <v>SINAPI</v>
      </c>
      <c r="C17" s="1" t="str">
        <v>Serviço 15</v>
      </c>
      <c r="D17" s="1" t="str">
        <v>m</v>
      </c>
      <c r="E17" s="1" t="n">
        <v>2</v>
      </c>
      <c r="F17" s="9" t="n">
        <v>100</v>
      </c>
      <c r="G17" s="9" t="n">
        <v>0.2</v>
      </c>
      <c r="H17" s="9" t="n">
        <v>120</v>
      </c>
      <c r="I17" s="9" t="n">
        <v>240</v>
      </c>
    </row>
    <row r="18" ht="22" customHeight="1">
      <c r="A18" s="2" t="str">
        <v>g16</v>
      </c>
      <c r="B18" s="1" t="str">
        <v>SINAPI</v>
      </c>
      <c r="C18" s="1" t="str">
        <v>Serviço 16</v>
      </c>
      <c r="D18" s="1" t="str">
        <v>m</v>
      </c>
      <c r="E18" s="1" t="n">
        <v>2</v>
      </c>
      <c r="F18" s="9" t="n">
        <v>100</v>
      </c>
      <c r="G18" s="9" t="n">
        <v>0.2</v>
      </c>
      <c r="H18" s="9" t="n">
        <v>120</v>
      </c>
      <c r="I18" s="9" t="n">
        <v>240</v>
      </c>
    </row>
    <row r="19" ht="22" customHeight="1">
      <c r="A19" s="2" t="str">
        <v>g17</v>
      </c>
      <c r="B19" s="1" t="str">
        <v>SINAPI</v>
      </c>
      <c r="C19" s="1" t="str">
        <v>Serviço 17</v>
      </c>
      <c r="D19" s="1" t="str">
        <v>m</v>
      </c>
      <c r="E19" s="1" t="n">
        <v>2</v>
      </c>
      <c r="F19" s="9" t="n">
        <v>100</v>
      </c>
      <c r="G19" s="9" t="n">
        <v>0.2</v>
      </c>
      <c r="H19" s="9" t="n">
        <v>120</v>
      </c>
      <c r="I19" s="9" t="n">
        <v>240</v>
      </c>
    </row>
    <row r="20" ht="22" customHeight="1">
      <c r="A20" s="2" t="str">
        <v>g18</v>
      </c>
      <c r="B20" s="1" t="str">
        <v>SINAPI</v>
      </c>
      <c r="C20" s="1" t="str">
        <v>Serviço 18</v>
      </c>
      <c r="D20" s="1" t="str">
        <v>m</v>
      </c>
      <c r="E20" s="1" t="n">
        <v>2</v>
      </c>
      <c r="F20" s="9" t="n">
        <v>100</v>
      </c>
      <c r="G20" s="9" t="n">
        <v>0.2</v>
      </c>
      <c r="H20" s="9" t="n">
        <v>120</v>
      </c>
      <c r="I20" s="9" t="n">
        <v>240</v>
      </c>
    </row>
    <row r="21" ht="22" customHeight="1">
      <c r="A21" s="2" t="str">
        <v>g19</v>
      </c>
      <c r="B21" s="1" t="str">
        <v>SINAPI</v>
      </c>
      <c r="C21" s="1" t="str">
        <v>Serviço 19</v>
      </c>
      <c r="D21" s="1" t="str">
        <v>m</v>
      </c>
      <c r="E21" s="1" t="n">
        <v>2</v>
      </c>
      <c r="F21" s="9" t="n">
        <v>100</v>
      </c>
      <c r="G21" s="9" t="n">
        <v>0.2</v>
      </c>
      <c r="H21" s="9" t="n">
        <v>120</v>
      </c>
      <c r="I21" s="9" t="n">
        <v>240</v>
      </c>
    </row>
    <row r="22" ht="22" customHeight="1">
      <c r="A22" s="2" t="str">
        <v>g20</v>
      </c>
      <c r="B22" s="1" t="str">
        <v>SINAPI</v>
      </c>
      <c r="C22" s="1" t="str">
        <v>Serviço 20</v>
      </c>
      <c r="D22" s="1" t="str">
        <v>m</v>
      </c>
      <c r="E22" s="1" t="n">
        <v>2</v>
      </c>
      <c r="F22" s="9" t="n">
        <v>100</v>
      </c>
      <c r="G22" s="9" t="n">
        <v>0.2</v>
      </c>
      <c r="H22" s="9" t="n">
        <v>120</v>
      </c>
      <c r="I22" s="9" t="n">
        <v>240</v>
      </c>
    </row>
    <row r="23" ht="22" customHeight="1">
      <c r="A23" s="2" t="str">
        <v>g21</v>
      </c>
      <c r="B23" s="1" t="str">
        <v>SINAPI</v>
      </c>
      <c r="C23" s="1" t="str">
        <v>Serviço 21</v>
      </c>
      <c r="D23" s="1" t="str">
        <v>m</v>
      </c>
      <c r="E23" s="1" t="n">
        <v>2</v>
      </c>
      <c r="F23" s="9" t="n">
        <v>100</v>
      </c>
      <c r="G23" s="9" t="n">
        <v>0.2</v>
      </c>
      <c r="H23" s="9" t="n">
        <v>120</v>
      </c>
      <c r="I23" s="9" t="n">
        <v>240</v>
      </c>
    </row>
    <row r="24" ht="22" customHeight="1">
      <c r="A24" s="2" t="str">
        <v>g22</v>
      </c>
      <c r="B24" s="1" t="str">
        <v>SINAPI</v>
      </c>
      <c r="C24" s="1" t="str">
        <v>Serviço 22</v>
      </c>
      <c r="D24" s="1" t="str">
        <v>m</v>
      </c>
      <c r="E24" s="1" t="n">
        <v>2</v>
      </c>
      <c r="F24" s="9" t="n">
        <v>100</v>
      </c>
      <c r="G24" s="9" t="n">
        <v>0.2</v>
      </c>
      <c r="H24" s="9" t="n">
        <v>120</v>
      </c>
      <c r="I24" s="9" t="n">
        <v>240</v>
      </c>
    </row>
    <row r="25" ht="22" customHeight="1">
      <c r="A25" s="2" t="str">
        <v>g23</v>
      </c>
      <c r="B25" s="1" t="str">
        <v>SINAPI</v>
      </c>
      <c r="C25" s="1" t="str">
        <v>Serviço 23</v>
      </c>
      <c r="D25" s="1" t="str">
        <v>m</v>
      </c>
      <c r="E25" s="1" t="n">
        <v>2</v>
      </c>
      <c r="F25" s="9" t="n">
        <v>100</v>
      </c>
      <c r="G25" s="9" t="n">
        <v>0.2</v>
      </c>
      <c r="H25" s="9" t="n">
        <v>120</v>
      </c>
      <c r="I25" s="9" t="n">
        <v>240</v>
      </c>
    </row>
    <row r="26" ht="22" customHeight="1">
      <c r="A26" s="2" t="str">
        <v>g24</v>
      </c>
      <c r="B26" s="1" t="str">
        <v>SINAPI</v>
      </c>
      <c r="C26" s="1" t="str">
        <v>Serviço 24</v>
      </c>
      <c r="D26" s="1" t="str">
        <v>m</v>
      </c>
      <c r="E26" s="1" t="n">
        <v>2</v>
      </c>
      <c r="F26" s="9" t="n">
        <v>100</v>
      </c>
      <c r="G26" s="9" t="n">
        <v>0.2</v>
      </c>
      <c r="H26" s="9" t="n">
        <v>120</v>
      </c>
      <c r="I26" s="9" t="n">
        <v>240</v>
      </c>
    </row>
    <row r="27" ht="22" customHeight="1">
      <c r="A27" s="2" t="str">
        <v>g25</v>
      </c>
      <c r="B27" s="1" t="str">
        <v>SINAPI</v>
      </c>
      <c r="C27" s="1" t="str">
        <v>Serviço 25</v>
      </c>
      <c r="D27" s="1" t="str">
        <v>m</v>
      </c>
      <c r="E27" s="1" t="n">
        <v>2</v>
      </c>
      <c r="F27" s="9" t="n">
        <v>100</v>
      </c>
      <c r="G27" s="9" t="n">
        <v>0.2</v>
      </c>
      <c r="H27" s="9" t="n">
        <v>120</v>
      </c>
      <c r="I27" s="9" t="n">
        <v>240</v>
      </c>
    </row>
    <row r="28" ht="22" customHeight="1">
      <c r="A28" s="2" t="str">
        <v>g26</v>
      </c>
      <c r="B28" s="1" t="str">
        <v>SINAPI</v>
      </c>
      <c r="C28" s="1" t="str">
        <v>Serviço 26</v>
      </c>
      <c r="D28" s="1" t="str">
        <v>m</v>
      </c>
      <c r="E28" s="1" t="n">
        <v>2</v>
      </c>
      <c r="F28" s="9" t="n">
        <v>100</v>
      </c>
      <c r="G28" s="9" t="n">
        <v>0.2</v>
      </c>
      <c r="H28" s="9" t="n">
        <v>120</v>
      </c>
      <c r="I28" s="9" t="n">
        <v>240</v>
      </c>
    </row>
    <row r="29" ht="22" customHeight="1">
      <c r="A29" s="2" t="str">
        <v>g27</v>
      </c>
      <c r="B29" s="1" t="str">
        <v>SINAPI</v>
      </c>
      <c r="C29" s="1" t="str">
        <v>Serviço 27</v>
      </c>
      <c r="D29" s="1" t="str">
        <v>m</v>
      </c>
      <c r="E29" s="1" t="n">
        <v>2</v>
      </c>
      <c r="F29" s="9" t="n">
        <v>100</v>
      </c>
      <c r="G29" s="9" t="n">
        <v>0.2</v>
      </c>
      <c r="H29" s="9" t="n">
        <v>120</v>
      </c>
      <c r="I29" s="9" t="n">
        <v>240</v>
      </c>
    </row>
    <row r="30" ht="22" customHeight="1">
      <c r="A30" s="2" t="str">
        <v>g28</v>
      </c>
      <c r="B30" s="1" t="str">
        <v>SINAPI</v>
      </c>
      <c r="C30" s="1" t="str">
        <v>Serviço 28</v>
      </c>
      <c r="D30" s="1" t="str">
        <v>m</v>
      </c>
      <c r="E30" s="1" t="n">
        <v>2</v>
      </c>
      <c r="F30" s="9" t="n">
        <v>100</v>
      </c>
      <c r="G30" s="9" t="n">
        <v>0.2</v>
      </c>
      <c r="H30" s="9" t="n">
        <v>120</v>
      </c>
      <c r="I30" s="9" t="n">
        <v>240</v>
      </c>
    </row>
    <row r="31" ht="22" customHeight="1">
      <c r="A31" s="2" t="str">
        <v>g29</v>
      </c>
      <c r="B31" s="1" t="str">
        <v>SINAPI</v>
      </c>
      <c r="C31" s="1" t="str">
        <v>Serviço 29</v>
      </c>
      <c r="D31" s="1" t="str">
        <v>m</v>
      </c>
      <c r="E31" s="1" t="n">
        <v>2</v>
      </c>
      <c r="F31" s="9" t="n">
        <v>100</v>
      </c>
      <c r="G31" s="9" t="n">
        <v>0.2</v>
      </c>
      <c r="H31" s="9" t="n">
        <v>120</v>
      </c>
      <c r="I31" s="9" t="n">
        <v>240</v>
      </c>
    </row>
    <row r="32" ht="22" customHeight="1">
      <c r="A32" s="2" t="str">
        <v>g0</v>
      </c>
      <c r="B32" s="1" t="str">
        <v>SINAPI</v>
      </c>
      <c r="C32" s="1" t="str">
        <v>Serviço 0</v>
      </c>
      <c r="D32" s="1" t="str">
        <v>m</v>
      </c>
      <c r="E32" s="1" t="n">
        <v>2</v>
      </c>
      <c r="F32" s="9" t="n">
        <v>110</v>
      </c>
      <c r="G32" s="9" t="n">
        <v>0.2</v>
      </c>
      <c r="H32" s="9" t="n">
        <v>132</v>
      </c>
      <c r="I32" s="9" t="n">
        <v>264</v>
      </c>
    </row>
    <row r="33" ht="22" customHeight="1">
      <c r="A33" s="2" t="str">
        <v>g1</v>
      </c>
      <c r="B33" s="1" t="str">
        <v>SINAPI</v>
      </c>
      <c r="C33" s="1" t="str">
        <v>Serviço 1</v>
      </c>
      <c r="D33" s="1" t="str">
        <v>m</v>
      </c>
      <c r="E33" s="1" t="n">
        <v>2</v>
      </c>
      <c r="F33" s="9" t="n">
        <v>110</v>
      </c>
      <c r="G33" s="9" t="n">
        <v>0.2</v>
      </c>
      <c r="H33" s="9" t="n">
        <v>132</v>
      </c>
      <c r="I33" s="9" t="n">
        <v>264</v>
      </c>
    </row>
    <row r="34" ht="22" customHeight="1">
      <c r="A34" s="2" t="str">
        <v>g2</v>
      </c>
      <c r="B34" s="1" t="str">
        <v>SINAPI</v>
      </c>
      <c r="C34" s="1" t="str">
        <v>Serviço 2</v>
      </c>
      <c r="D34" s="1" t="str">
        <v>m</v>
      </c>
      <c r="E34" s="1" t="n">
        <v>2</v>
      </c>
      <c r="F34" s="9" t="n">
        <v>110</v>
      </c>
      <c r="G34" s="9" t="n">
        <v>0.2</v>
      </c>
      <c r="H34" s="9" t="n">
        <v>132</v>
      </c>
      <c r="I34" s="9" t="n">
        <v>264</v>
      </c>
    </row>
    <row r="35" ht="22" customHeight="1">
      <c r="A35" s="2" t="str">
        <v>g3</v>
      </c>
      <c r="B35" s="1" t="str">
        <v>SINAPI</v>
      </c>
      <c r="C35" s="1" t="str">
        <v>Serviço 3</v>
      </c>
      <c r="D35" s="1" t="str">
        <v>m</v>
      </c>
      <c r="E35" s="1" t="n">
        <v>2</v>
      </c>
      <c r="F35" s="9" t="n">
        <v>110</v>
      </c>
      <c r="G35" s="9" t="n">
        <v>0.2</v>
      </c>
      <c r="H35" s="9" t="n">
        <v>132</v>
      </c>
      <c r="I35" s="9" t="n">
        <v>264</v>
      </c>
    </row>
    <row r="36" ht="22" customHeight="1">
      <c r="A36" s="2" t="str">
        <v>g4</v>
      </c>
      <c r="B36" s="1" t="str">
        <v>SINAPI</v>
      </c>
      <c r="C36" s="1" t="str">
        <v>Serviço 4</v>
      </c>
      <c r="D36" s="1" t="str">
        <v>m</v>
      </c>
      <c r="E36" s="1" t="n">
        <v>2</v>
      </c>
      <c r="F36" s="9" t="n">
        <v>110</v>
      </c>
      <c r="G36" s="9" t="n">
        <v>0.2</v>
      </c>
      <c r="H36" s="9" t="n">
        <v>132</v>
      </c>
      <c r="I36" s="9" t="n">
        <v>264</v>
      </c>
    </row>
    <row r="37" ht="22" customHeight="1">
      <c r="A37" s="2" t="str">
        <v>g5</v>
      </c>
      <c r="B37" s="1" t="str">
        <v>SINAPI</v>
      </c>
      <c r="C37" s="1" t="str">
        <v>Serviço 5</v>
      </c>
      <c r="D37" s="1" t="str">
        <v>m</v>
      </c>
      <c r="E37" s="1" t="n">
        <v>2</v>
      </c>
      <c r="F37" s="9" t="n">
        <v>110</v>
      </c>
      <c r="G37" s="9" t="n">
        <v>0.2</v>
      </c>
      <c r="H37" s="9" t="n">
        <v>132</v>
      </c>
      <c r="I37" s="9" t="n">
        <v>264</v>
      </c>
    </row>
    <row r="38" ht="22" customHeight="1">
      <c r="A38" s="2" t="str">
        <v>g6</v>
      </c>
      <c r="B38" s="1" t="str">
        <v>SINAPI</v>
      </c>
      <c r="C38" s="1" t="str">
        <v>Serviço 6</v>
      </c>
      <c r="D38" s="1" t="str">
        <v>m</v>
      </c>
      <c r="E38" s="1" t="n">
        <v>2</v>
      </c>
      <c r="F38" s="9" t="n">
        <v>110</v>
      </c>
      <c r="G38" s="9" t="n">
        <v>0.2</v>
      </c>
      <c r="H38" s="9" t="n">
        <v>132</v>
      </c>
      <c r="I38" s="9" t="n">
        <v>264</v>
      </c>
    </row>
    <row r="39" ht="22" customHeight="1">
      <c r="A39" s="2" t="str">
        <v>g7</v>
      </c>
      <c r="B39" s="1" t="str">
        <v>SINAPI</v>
      </c>
      <c r="C39" s="1" t="str">
        <v>Serviço 7</v>
      </c>
      <c r="D39" s="1" t="str">
        <v>m</v>
      </c>
      <c r="E39" s="1" t="n">
        <v>2</v>
      </c>
      <c r="F39" s="9" t="n">
        <v>110</v>
      </c>
      <c r="G39" s="9" t="n">
        <v>0.2</v>
      </c>
      <c r="H39" s="9" t="n">
        <v>132</v>
      </c>
      <c r="I39" s="9" t="n">
        <v>264</v>
      </c>
    </row>
    <row r="40" ht="22" customHeight="1">
      <c r="A40" s="2" t="str">
        <v>g8</v>
      </c>
      <c r="B40" s="1" t="str">
        <v>SINAPI</v>
      </c>
      <c r="C40" s="1" t="str">
        <v>Serviço 8</v>
      </c>
      <c r="D40" s="1" t="str">
        <v>m</v>
      </c>
      <c r="E40" s="1" t="n">
        <v>2</v>
      </c>
      <c r="F40" s="9" t="n">
        <v>110</v>
      </c>
      <c r="G40" s="9" t="n">
        <v>0.2</v>
      </c>
      <c r="H40" s="9" t="n">
        <v>132</v>
      </c>
      <c r="I40" s="9" t="n">
        <v>264</v>
      </c>
    </row>
    <row r="41" ht="22" customHeight="1">
      <c r="A41" s="2" t="str">
        <v>g9</v>
      </c>
      <c r="B41" s="1" t="str">
        <v>SINAPI</v>
      </c>
      <c r="C41" s="1" t="str">
        <v>Serviço 9</v>
      </c>
      <c r="D41" s="1" t="str">
        <v>m</v>
      </c>
      <c r="E41" s="1" t="n">
        <v>2</v>
      </c>
      <c r="F41" s="9" t="n">
        <v>110</v>
      </c>
      <c r="G41" s="9" t="n">
        <v>0.2</v>
      </c>
      <c r="H41" s="9" t="n">
        <v>132</v>
      </c>
      <c r="I41" s="9" t="n">
        <v>264</v>
      </c>
    </row>
    <row r="42" ht="22" customHeight="1">
      <c r="A42" s="2" t="str">
        <v>g10</v>
      </c>
      <c r="B42" s="1" t="str">
        <v>SINAPI</v>
      </c>
      <c r="C42" s="1" t="str">
        <v>Serviço 10</v>
      </c>
      <c r="D42" s="1" t="str">
        <v>m</v>
      </c>
      <c r="E42" s="1" t="n">
        <v>2</v>
      </c>
      <c r="F42" s="9" t="n">
        <v>110</v>
      </c>
      <c r="G42" s="9" t="n">
        <v>0.2</v>
      </c>
      <c r="H42" s="9" t="n">
        <v>132</v>
      </c>
      <c r="I42" s="9" t="n">
        <v>264</v>
      </c>
    </row>
    <row r="43" ht="22" customHeight="1">
      <c r="A43" s="2" t="str">
        <v>g11</v>
      </c>
      <c r="B43" s="1" t="str">
        <v>SINAPI</v>
      </c>
      <c r="C43" s="1" t="str">
        <v>Serviço 11</v>
      </c>
      <c r="D43" s="1" t="str">
        <v>m</v>
      </c>
      <c r="E43" s="1" t="n">
        <v>2</v>
      </c>
      <c r="F43" s="9" t="n">
        <v>110</v>
      </c>
      <c r="G43" s="9" t="n">
        <v>0.2</v>
      </c>
      <c r="H43" s="9" t="n">
        <v>132</v>
      </c>
      <c r="I43" s="9" t="n">
        <v>264</v>
      </c>
    </row>
    <row r="44" ht="22" customHeight="1">
      <c r="A44" s="2" t="str">
        <v>g12</v>
      </c>
      <c r="B44" s="1" t="str">
        <v>SINAPI</v>
      </c>
      <c r="C44" s="1" t="str">
        <v>Serviço 12</v>
      </c>
      <c r="D44" s="1" t="str">
        <v>m</v>
      </c>
      <c r="E44" s="1" t="n">
        <v>2</v>
      </c>
      <c r="F44" s="9" t="n">
        <v>110</v>
      </c>
      <c r="G44" s="9" t="n">
        <v>0.2</v>
      </c>
      <c r="H44" s="9" t="n">
        <v>132</v>
      </c>
      <c r="I44" s="9" t="n">
        <v>264</v>
      </c>
    </row>
    <row r="45" ht="22" customHeight="1">
      <c r="A45" s="2" t="str">
        <v>g13</v>
      </c>
      <c r="B45" s="1" t="str">
        <v>SINAPI</v>
      </c>
      <c r="C45" s="1" t="str">
        <v>Serviço 13</v>
      </c>
      <c r="D45" s="1" t="str">
        <v>m</v>
      </c>
      <c r="E45" s="1" t="n">
        <v>2</v>
      </c>
      <c r="F45" s="9" t="n">
        <v>110</v>
      </c>
      <c r="G45" s="9" t="n">
        <v>0.2</v>
      </c>
      <c r="H45" s="9" t="n">
        <v>132</v>
      </c>
      <c r="I45" s="9" t="n">
        <v>264</v>
      </c>
    </row>
    <row r="46" ht="22" customHeight="1">
      <c r="A46" s="2" t="str">
        <v>g14</v>
      </c>
      <c r="B46" s="1" t="str">
        <v>SINAPI</v>
      </c>
      <c r="C46" s="1" t="str">
        <v>Serviço 14</v>
      </c>
      <c r="D46" s="1" t="str">
        <v>m</v>
      </c>
      <c r="E46" s="1" t="n">
        <v>2</v>
      </c>
      <c r="F46" s="9" t="n">
        <v>110</v>
      </c>
      <c r="G46" s="9" t="n">
        <v>0.2</v>
      </c>
      <c r="H46" s="9" t="n">
        <v>132</v>
      </c>
      <c r="I46" s="9" t="n">
        <v>264</v>
      </c>
    </row>
    <row r="47" ht="22" customHeight="1">
      <c r="A47" s="2" t="str">
        <v>g15</v>
      </c>
      <c r="B47" s="1" t="str">
        <v>SINAPI</v>
      </c>
      <c r="C47" s="1" t="str">
        <v>Serviço 15</v>
      </c>
      <c r="D47" s="1" t="str">
        <v>m</v>
      </c>
      <c r="E47" s="1" t="n">
        <v>2</v>
      </c>
      <c r="F47" s="9" t="n">
        <v>110</v>
      </c>
      <c r="G47" s="9" t="n">
        <v>0.2</v>
      </c>
      <c r="H47" s="9" t="n">
        <v>132</v>
      </c>
      <c r="I47" s="9" t="n">
        <v>264</v>
      </c>
    </row>
    <row r="48" ht="22" customHeight="1">
      <c r="A48" s="2" t="str">
        <v>g16</v>
      </c>
      <c r="B48" s="1" t="str">
        <v>SINAPI</v>
      </c>
      <c r="C48" s="1" t="str">
        <v>Serviço 16</v>
      </c>
      <c r="D48" s="1" t="str">
        <v>m</v>
      </c>
      <c r="E48" s="1" t="n">
        <v>2</v>
      </c>
      <c r="F48" s="9" t="n">
        <v>110</v>
      </c>
      <c r="G48" s="9" t="n">
        <v>0.2</v>
      </c>
      <c r="H48" s="9" t="n">
        <v>132</v>
      </c>
      <c r="I48" s="9" t="n">
        <v>264</v>
      </c>
    </row>
    <row r="49" ht="22" customHeight="1">
      <c r="A49" s="2" t="str">
        <v>g17</v>
      </c>
      <c r="B49" s="1" t="str">
        <v>SINAPI</v>
      </c>
      <c r="C49" s="1" t="str">
        <v>Serviço 17</v>
      </c>
      <c r="D49" s="1" t="str">
        <v>m</v>
      </c>
      <c r="E49" s="1" t="n">
        <v>2</v>
      </c>
      <c r="F49" s="9" t="n">
        <v>110</v>
      </c>
      <c r="G49" s="9" t="n">
        <v>0.2</v>
      </c>
      <c r="H49" s="9" t="n">
        <v>132</v>
      </c>
      <c r="I49" s="9" t="n">
        <v>264</v>
      </c>
    </row>
    <row r="50" ht="22" customHeight="1">
      <c r="A50" s="2" t="str">
        <v>g18</v>
      </c>
      <c r="B50" s="1" t="str">
        <v>SINAPI</v>
      </c>
      <c r="C50" s="1" t="str">
        <v>Serviço 18</v>
      </c>
      <c r="D50" s="1" t="str">
        <v>m</v>
      </c>
      <c r="E50" s="1" t="n">
        <v>2</v>
      </c>
      <c r="F50" s="9" t="n">
        <v>110</v>
      </c>
      <c r="G50" s="9" t="n">
        <v>0.2</v>
      </c>
      <c r="H50" s="9" t="n">
        <v>132</v>
      </c>
      <c r="I50" s="9" t="n">
        <v>264</v>
      </c>
    </row>
    <row r="51" ht="22" customHeight="1">
      <c r="A51" s="2" t="str">
        <v>g19</v>
      </c>
      <c r="B51" s="1" t="str">
        <v>SINAPI</v>
      </c>
      <c r="C51" s="1" t="str">
        <v>Serviço 19</v>
      </c>
      <c r="D51" s="1" t="str">
        <v>m</v>
      </c>
      <c r="E51" s="1" t="n">
        <v>2</v>
      </c>
      <c r="F51" s="9" t="n">
        <v>110</v>
      </c>
      <c r="G51" s="9" t="n">
        <v>0.2</v>
      </c>
      <c r="H51" s="9" t="n">
        <v>132</v>
      </c>
      <c r="I51" s="9" t="n">
        <v>264</v>
      </c>
    </row>
    <row r="52" ht="22" customHeight="1">
      <c r="A52" s="2" t="str">
        <v>g20</v>
      </c>
      <c r="B52" s="1" t="str">
        <v>SINAPI</v>
      </c>
      <c r="C52" s="1" t="str">
        <v>Serviço 20</v>
      </c>
      <c r="D52" s="1" t="str">
        <v>m</v>
      </c>
      <c r="E52" s="1" t="n">
        <v>2</v>
      </c>
      <c r="F52" s="9" t="n">
        <v>110</v>
      </c>
      <c r="G52" s="9" t="n">
        <v>0.2</v>
      </c>
      <c r="H52" s="9" t="n">
        <v>132</v>
      </c>
      <c r="I52" s="9" t="n">
        <v>264</v>
      </c>
    </row>
    <row r="53" ht="22" customHeight="1">
      <c r="A53" s="2" t="str">
        <v>g21</v>
      </c>
      <c r="B53" s="1" t="str">
        <v>SINAPI</v>
      </c>
      <c r="C53" s="1" t="str">
        <v>Serviço 21</v>
      </c>
      <c r="D53" s="1" t="str">
        <v>m</v>
      </c>
      <c r="E53" s="1" t="n">
        <v>2</v>
      </c>
      <c r="F53" s="9" t="n">
        <v>110</v>
      </c>
      <c r="G53" s="9" t="n">
        <v>0.2</v>
      </c>
      <c r="H53" s="9" t="n">
        <v>132</v>
      </c>
      <c r="I53" s="9" t="n">
        <v>264</v>
      </c>
    </row>
    <row r="54" ht="22" customHeight="1">
      <c r="A54" s="2" t="str">
        <v>g22</v>
      </c>
      <c r="B54" s="1" t="str">
        <v>SINAPI</v>
      </c>
      <c r="C54" s="1" t="str">
        <v>Serviço 22</v>
      </c>
      <c r="D54" s="1" t="str">
        <v>m</v>
      </c>
      <c r="E54" s="1" t="n">
        <v>2</v>
      </c>
      <c r="F54" s="9" t="n">
        <v>110</v>
      </c>
      <c r="G54" s="9" t="n">
        <v>0.2</v>
      </c>
      <c r="H54" s="9" t="n">
        <v>132</v>
      </c>
      <c r="I54" s="9" t="n">
        <v>264</v>
      </c>
    </row>
    <row r="55" ht="22" customHeight="1">
      <c r="A55" s="2" t="str">
        <v>g23</v>
      </c>
      <c r="B55" s="1" t="str">
        <v>SINAPI</v>
      </c>
      <c r="C55" s="1" t="str">
        <v>Serviço 23</v>
      </c>
      <c r="D55" s="1" t="str">
        <v>m</v>
      </c>
      <c r="E55" s="1" t="n">
        <v>2</v>
      </c>
      <c r="F55" s="9" t="n">
        <v>110</v>
      </c>
      <c r="G55" s="9" t="n">
        <v>0.2</v>
      </c>
      <c r="H55" s="9" t="n">
        <v>132</v>
      </c>
      <c r="I55" s="9" t="n">
        <v>264</v>
      </c>
    </row>
    <row r="56" ht="22" customHeight="1">
      <c r="A56" s="2" t="str">
        <v>g24</v>
      </c>
      <c r="B56" s="1" t="str">
        <v>SINAPI</v>
      </c>
      <c r="C56" s="1" t="str">
        <v>Serviço 24</v>
      </c>
      <c r="D56" s="1" t="str">
        <v>m</v>
      </c>
      <c r="E56" s="1" t="n">
        <v>2</v>
      </c>
      <c r="F56" s="9" t="n">
        <v>110</v>
      </c>
      <c r="G56" s="9" t="n">
        <v>0.2</v>
      </c>
      <c r="H56" s="9" t="n">
        <v>132</v>
      </c>
      <c r="I56" s="9" t="n">
        <v>264</v>
      </c>
    </row>
    <row r="57" ht="22" customHeight="1">
      <c r="A57" s="2" t="str">
        <v>g25</v>
      </c>
      <c r="B57" s="1" t="str">
        <v>SINAPI</v>
      </c>
      <c r="C57" s="1" t="str">
        <v>Serviço 25</v>
      </c>
      <c r="D57" s="1" t="str">
        <v>m</v>
      </c>
      <c r="E57" s="1" t="n">
        <v>2</v>
      </c>
      <c r="F57" s="9" t="n">
        <v>110</v>
      </c>
      <c r="G57" s="9" t="n">
        <v>0.2</v>
      </c>
      <c r="H57" s="9" t="n">
        <v>132</v>
      </c>
      <c r="I57" s="9" t="n">
        <v>264</v>
      </c>
    </row>
    <row r="58" ht="22" customHeight="1">
      <c r="A58" s="2" t="str">
        <v>g26</v>
      </c>
      <c r="B58" s="1" t="str">
        <v>SINAPI</v>
      </c>
      <c r="C58" s="1" t="str">
        <v>Serviço 26</v>
      </c>
      <c r="D58" s="1" t="str">
        <v>m</v>
      </c>
      <c r="E58" s="1" t="n">
        <v>2</v>
      </c>
      <c r="F58" s="9" t="n">
        <v>110</v>
      </c>
      <c r="G58" s="9" t="n">
        <v>0.2</v>
      </c>
      <c r="H58" s="9" t="n">
        <v>132</v>
      </c>
      <c r="I58" s="9" t="n">
        <v>264</v>
      </c>
    </row>
    <row r="59" ht="22" customHeight="1">
      <c r="A59" s="2" t="str">
        <v>g27</v>
      </c>
      <c r="B59" s="1" t="str">
        <v>SINAPI</v>
      </c>
      <c r="C59" s="1" t="str">
        <v>Serviço 27</v>
      </c>
      <c r="D59" s="1" t="str">
        <v>m</v>
      </c>
      <c r="E59" s="1" t="n">
        <v>2</v>
      </c>
      <c r="F59" s="9" t="n">
        <v>110</v>
      </c>
      <c r="G59" s="9" t="n">
        <v>0.2</v>
      </c>
      <c r="H59" s="9" t="n">
        <v>132</v>
      </c>
      <c r="I59" s="9" t="n">
        <v>264</v>
      </c>
    </row>
    <row r="60" ht="22" customHeight="1">
      <c r="A60" s="2" t="str">
        <v>g28</v>
      </c>
      <c r="B60" s="1" t="str">
        <v>SINAPI</v>
      </c>
      <c r="C60" s="1" t="str">
        <v>Serviço 28</v>
      </c>
      <c r="D60" s="1" t="str">
        <v>m</v>
      </c>
      <c r="E60" s="1" t="n">
        <v>2</v>
      </c>
      <c r="F60" s="9" t="n">
        <v>110</v>
      </c>
      <c r="G60" s="9" t="n">
        <v>0.2</v>
      </c>
      <c r="H60" s="9" t="n">
        <v>132</v>
      </c>
      <c r="I60" s="9" t="n">
        <v>264</v>
      </c>
    </row>
    <row r="61" ht="22" customHeight="1">
      <c r="A61" s="2" t="str">
        <v>g29</v>
      </c>
      <c r="B61" s="1" t="str">
        <v>SINAPI</v>
      </c>
      <c r="C61" s="1" t="str">
        <v>Serviço 29</v>
      </c>
      <c r="D61" s="1" t="str">
        <v>m</v>
      </c>
      <c r="E61" s="1" t="n">
        <v>2</v>
      </c>
      <c r="F61" s="9" t="n">
        <v>110</v>
      </c>
      <c r="G61" s="9" t="n">
        <v>0.2</v>
      </c>
      <c r="H61" s="9" t="n">
        <v>132</v>
      </c>
      <c r="I61" s="9" t="n">
        <v>264</v>
      </c>
    </row>
  </sheetData>
  <pageMargins left="0.7" right="0.7" top="0.75" bottom="0.75" header="0.3" footer="0.3"/>
</worksheet>
</file>